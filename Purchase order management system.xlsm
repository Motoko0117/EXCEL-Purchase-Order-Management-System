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FBB3BA24-C50D-496C-AB46-4DF45D508E04}" xr6:coauthVersionLast="47" xr6:coauthVersionMax="47" xr10:uidLastSave="{00000000-0000-0000-0000-000000000000}"/>
  <bookViews>
    <workbookView xWindow="-110" yWindow="-110" windowWidth="25820" windowHeight="15620" xr2:uid="{9AF86A44-33FE-3647-907E-58E5A4BF8977}"/>
  </bookViews>
  <sheets>
    <sheet name="Cover Page" sheetId="8" r:id="rId1"/>
    <sheet name="PO" sheetId="5" r:id="rId2"/>
    <sheet name="Suppliers" sheetId="2" r:id="rId3"/>
    <sheet name="Prices" sheetId="3" r:id="rId4"/>
    <sheet name="Register" sheetId="4" r:id="rId5"/>
    <sheet name="Purchase records" sheetId="6" r:id="rId6"/>
  </sheets>
  <externalReferences>
    <externalReference r:id="rId7"/>
  </externalReferences>
  <definedNames>
    <definedName name="_xlnm.Print_Area" localSheetId="1">PO!$B$2:$H$31</definedName>
    <definedName name="产品">[1]!表3[Description]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4" l="1"/>
  <c r="H5" i="4"/>
  <c r="I5" i="4" s="1"/>
  <c r="H6" i="4"/>
  <c r="H7" i="4"/>
  <c r="H8" i="4"/>
  <c r="H9" i="4"/>
  <c r="H3" i="4"/>
  <c r="L1" i="4"/>
  <c r="J5" i="4"/>
  <c r="J7" i="4" l="1"/>
  <c r="I7" i="4"/>
  <c r="J3" i="4"/>
  <c r="I3" i="4"/>
  <c r="J9" i="4"/>
  <c r="I9" i="4"/>
  <c r="J8" i="4"/>
  <c r="I8" i="4"/>
  <c r="J6" i="4"/>
  <c r="I6" i="4"/>
  <c r="J4" i="4"/>
  <c r="I4" i="4"/>
  <c r="F18" i="5"/>
  <c r="F19" i="5"/>
  <c r="F20" i="5"/>
  <c r="F21" i="5"/>
  <c r="F22" i="5"/>
  <c r="F23" i="5"/>
  <c r="F17" i="5"/>
  <c r="G14" i="5"/>
  <c r="D14" i="5"/>
  <c r="D13" i="5"/>
  <c r="G7" i="5"/>
  <c r="L2" i="4"/>
  <c r="N2" i="5" l="1"/>
  <c r="C17" i="5"/>
  <c r="G17" i="5"/>
  <c r="C18" i="5"/>
  <c r="G18" i="5"/>
  <c r="C19" i="5"/>
  <c r="G19" i="5"/>
  <c r="C20" i="5"/>
  <c r="C21" i="5"/>
  <c r="C22" i="5"/>
  <c r="C23" i="5"/>
  <c r="O2" i="5" l="1"/>
  <c r="G9" i="5"/>
  <c r="G10" i="5"/>
  <c r="D10" i="5"/>
  <c r="D9" i="5"/>
  <c r="D8" i="5"/>
  <c r="G8" i="5"/>
  <c r="G23" i="5"/>
  <c r="G22" i="5"/>
  <c r="G21" i="5"/>
  <c r="G20" i="5"/>
  <c r="G25" i="5" l="1"/>
  <c r="G24" i="5"/>
  <c r="G26" i="5" l="1"/>
  <c r="P2" i="5" s="1"/>
</calcChain>
</file>

<file path=xl/sharedStrings.xml><?xml version="1.0" encoding="utf-8"?>
<sst xmlns="http://schemas.openxmlformats.org/spreadsheetml/2006/main" count="270" uniqueCount="238">
  <si>
    <t>Title</t>
  </si>
  <si>
    <t>Address</t>
  </si>
  <si>
    <t>Phone</t>
  </si>
  <si>
    <t>City</t>
  </si>
  <si>
    <t>Fax</t>
  </si>
  <si>
    <t>Postal code</t>
  </si>
  <si>
    <t>Date</t>
    <phoneticPr fontId="1" type="noConversion"/>
  </si>
  <si>
    <t>Discount%</t>
    <phoneticPr fontId="1" type="noConversion"/>
  </si>
  <si>
    <t>Discount Days</t>
    <phoneticPr fontId="1" type="noConversion"/>
  </si>
  <si>
    <t>Company</t>
  </si>
  <si>
    <t>Contact</t>
  </si>
  <si>
    <t>Days</t>
  </si>
  <si>
    <t>Net</t>
  </si>
  <si>
    <t>Fresh Farms</t>
  </si>
  <si>
    <t>John Smith</t>
  </si>
  <si>
    <t>Sales Manager</t>
  </si>
  <si>
    <t>123 Green Street</t>
  </si>
  <si>
    <t>Greentown</t>
  </si>
  <si>
    <t>0574-1234 5678</t>
    <phoneticPr fontId="1" type="noConversion"/>
  </si>
  <si>
    <t>Sweet Treats Bakery</t>
  </si>
  <si>
    <t xml:space="preserve">Karen Davis </t>
  </si>
  <si>
    <t>Pastry Chef</t>
  </si>
  <si>
    <t>123 Dessert Lane</t>
  </si>
  <si>
    <t>Sugarville</t>
  </si>
  <si>
    <t>0571-8765 4321</t>
    <phoneticPr fontId="1" type="noConversion"/>
  </si>
  <si>
    <t>Fresh Fruit Distributors</t>
  </si>
  <si>
    <t>Steven Turner</t>
  </si>
  <si>
    <t xml:space="preserve">Fruit Procurement Specialist </t>
  </si>
  <si>
    <t xml:space="preserve">789 Orchard Road </t>
  </si>
  <si>
    <t xml:space="preserve">Fruitland </t>
  </si>
  <si>
    <t>021-3332 7654</t>
    <phoneticPr fontId="1" type="noConversion"/>
  </si>
  <si>
    <t>Fine Wine and Spirits</t>
  </si>
  <si>
    <t>Olivia Parker</t>
  </si>
  <si>
    <t xml:space="preserve">Spirits Buyer </t>
  </si>
  <si>
    <t>234 Vine Street</t>
  </si>
  <si>
    <t xml:space="preserve">Spiritville </t>
  </si>
  <si>
    <t>010-4567 4567</t>
    <phoneticPr fontId="1" type="noConversion"/>
  </si>
  <si>
    <t xml:space="preserve">Farm Fresh Eggs Co. </t>
  </si>
  <si>
    <t>Richard Turner</t>
  </si>
  <si>
    <t xml:space="preserve">Egg Procurement Manager </t>
  </si>
  <si>
    <t xml:space="preserve">456 Egg Road </t>
  </si>
  <si>
    <t>Eggtown</t>
  </si>
  <si>
    <t>086-9876 5678</t>
    <phoneticPr fontId="1" type="noConversion"/>
  </si>
  <si>
    <t xml:space="preserve">Spice Bazaar </t>
  </si>
  <si>
    <t xml:space="preserve">Aisha Khan </t>
  </si>
  <si>
    <t>Spice Supplier</t>
  </si>
  <si>
    <t xml:space="preserve">987 Spice Market </t>
  </si>
  <si>
    <t>Spicetown</t>
  </si>
  <si>
    <t>073-1008 5533</t>
    <phoneticPr fontId="1" type="noConversion"/>
  </si>
  <si>
    <t>Artistic Tableware</t>
  </si>
  <si>
    <t>Ethan Taylor</t>
  </si>
  <si>
    <t>Tableware Supplier</t>
  </si>
  <si>
    <t>123 Tableware Street</t>
  </si>
  <si>
    <t>Tablesville</t>
  </si>
  <si>
    <t>095-8818 8818</t>
    <phoneticPr fontId="1" type="noConversion"/>
  </si>
  <si>
    <t>Fresh Pasta Creations</t>
    <phoneticPr fontId="3" type="noConversion"/>
  </si>
  <si>
    <t>Maria Rossi</t>
  </si>
  <si>
    <t xml:space="preserve">Pasta Procurement Specialist </t>
  </si>
  <si>
    <t>789 Pasta Lane</t>
  </si>
  <si>
    <t>Pastaville</t>
  </si>
  <si>
    <t>092-2234 5567</t>
    <phoneticPr fontId="1" type="noConversion"/>
  </si>
  <si>
    <t>The Cheese House</t>
  </si>
  <si>
    <t>Patrick Wilson</t>
  </si>
  <si>
    <t>Cheese Supplier</t>
  </si>
  <si>
    <t>234 Cheese Street</t>
  </si>
  <si>
    <t>Cheesetown</t>
  </si>
  <si>
    <t>002-1134 6654</t>
    <phoneticPr fontId="1" type="noConversion"/>
  </si>
  <si>
    <t>Exotic Meats Emporium</t>
  </si>
  <si>
    <t>Rachel Hunter</t>
  </si>
  <si>
    <t xml:space="preserve">Meat Procurement Officer </t>
  </si>
  <si>
    <t>654 Exotic Avenue</t>
  </si>
  <si>
    <t>Meatland</t>
  </si>
  <si>
    <t>099-9876 5678</t>
    <phoneticPr fontId="1" type="noConversion"/>
  </si>
  <si>
    <t>Greenhouse Greens</t>
  </si>
  <si>
    <t>Peter Green</t>
  </si>
  <si>
    <t>Organic Greens Farmer</t>
  </si>
  <si>
    <t>345 Greenhouse Lane</t>
  </si>
  <si>
    <t xml:space="preserve">Organicville </t>
  </si>
  <si>
    <t>037-3376 6688</t>
    <phoneticPr fontId="1" type="noConversion"/>
  </si>
  <si>
    <t>Gourmet Delights Inc.</t>
  </si>
  <si>
    <t>Sarah Brown</t>
  </si>
  <si>
    <t>Procurement Specialist</t>
  </si>
  <si>
    <t>456 Culinary Avenue</t>
  </si>
  <si>
    <t>Foodville</t>
  </si>
  <si>
    <t>011-1123 5677</t>
    <phoneticPr fontId="1" type="noConversion"/>
  </si>
  <si>
    <t xml:space="preserve"> Prime Meats &amp; More</t>
  </si>
  <si>
    <t>David Lee</t>
  </si>
  <si>
    <t>Supply Chain Manager</t>
  </si>
  <si>
    <t xml:space="preserve"> 789 Butcher Lane</t>
  </si>
  <si>
    <t>Meattown</t>
  </si>
  <si>
    <t>037-4726 4728</t>
  </si>
  <si>
    <t>Fresh Seafood Co.</t>
  </si>
  <si>
    <t>Emily White</t>
  </si>
  <si>
    <t>Seafood Sourcing Officer</t>
  </si>
  <si>
    <t>321 Ocean Avenue</t>
  </si>
  <si>
    <t>Sealand</t>
  </si>
  <si>
    <t>063-6485 3483</t>
  </si>
  <si>
    <t>Organic Produce Farm</t>
  </si>
  <si>
    <t>Michael Green</t>
  </si>
  <si>
    <t>Agricultural Director</t>
  </si>
  <si>
    <t>567 Farm Road</t>
  </si>
  <si>
    <t>Greensville</t>
  </si>
  <si>
    <t>046-4628 6725</t>
  </si>
  <si>
    <t>Specialty Spice Traders</t>
  </si>
  <si>
    <t>Sophia Johnson</t>
  </si>
  <si>
    <t>Spice Procurement Manager</t>
  </si>
  <si>
    <t>987 Spice Street</t>
  </si>
  <si>
    <t xml:space="preserve"> Flavorville</t>
  </si>
  <si>
    <t>047-5647 1938</t>
  </si>
  <si>
    <t>Coffee Express Roasters</t>
  </si>
  <si>
    <t>Mark Taylor</t>
  </si>
  <si>
    <t>Coffee Bean Buyer</t>
  </si>
  <si>
    <t>654 Brew Avenue</t>
  </si>
  <si>
    <t>Aromatown</t>
  </si>
  <si>
    <t>036-7651 3892</t>
  </si>
  <si>
    <t>Artisan Bread Bakery</t>
  </si>
  <si>
    <t>Lisa Miller</t>
  </si>
  <si>
    <t>Bakery Manager</t>
  </si>
  <si>
    <t>543 Baker Street</t>
  </si>
  <si>
    <t>Breadsville</t>
  </si>
  <si>
    <t>046-7204 7629</t>
  </si>
  <si>
    <t>Dairy Delights Inc.</t>
  </si>
  <si>
    <t>Daniel Clark</t>
  </si>
  <si>
    <t>Dairy Procurement Officer</t>
  </si>
  <si>
    <t>321 Dairy Lane</t>
  </si>
  <si>
    <t>Milkville</t>
  </si>
  <si>
    <t>026-3735 1773</t>
  </si>
  <si>
    <t>Wine World Imports</t>
  </si>
  <si>
    <t>Rachel Turner</t>
  </si>
  <si>
    <t xml:space="preserve"> Wine Buyer</t>
  </si>
  <si>
    <t>456 Vineyard Avenue</t>
  </si>
  <si>
    <t>Vinetown</t>
  </si>
  <si>
    <t>027-1836 7635</t>
  </si>
  <si>
    <t>Valid Supplier list</t>
    <phoneticPr fontId="1" type="noConversion"/>
  </si>
  <si>
    <t>Price List</t>
    <phoneticPr fontId="1" type="noConversion"/>
  </si>
  <si>
    <t>Item</t>
    <phoneticPr fontId="1" type="noConversion"/>
  </si>
  <si>
    <t>Description</t>
    <phoneticPr fontId="1" type="noConversion"/>
  </si>
  <si>
    <t>Coke</t>
  </si>
  <si>
    <t>Soda</t>
  </si>
  <si>
    <t>Nuts</t>
  </si>
  <si>
    <t>Yogurt</t>
    <phoneticPr fontId="1" type="noConversion"/>
  </si>
  <si>
    <t>Garlic</t>
  </si>
  <si>
    <t>Carrots</t>
  </si>
  <si>
    <t>Onions</t>
  </si>
  <si>
    <t>Mushrooms</t>
  </si>
  <si>
    <t>Chicken</t>
  </si>
  <si>
    <t>Beef</t>
  </si>
  <si>
    <t>Wine</t>
    <phoneticPr fontId="1" type="noConversion"/>
  </si>
  <si>
    <t>Cake</t>
    <phoneticPr fontId="1" type="noConversion"/>
  </si>
  <si>
    <t>Apple</t>
  </si>
  <si>
    <t>Melon</t>
  </si>
  <si>
    <t>Lemon</t>
  </si>
  <si>
    <t>Milk</t>
  </si>
  <si>
    <t>Egg</t>
  </si>
  <si>
    <t>Spice</t>
    <phoneticPr fontId="1" type="noConversion"/>
  </si>
  <si>
    <t>Prawn</t>
    <phoneticPr fontId="1" type="noConversion"/>
  </si>
  <si>
    <t>Salmon</t>
  </si>
  <si>
    <t>Arctic sweet shrimp</t>
  </si>
  <si>
    <t>Bread</t>
    <phoneticPr fontId="1" type="noConversion"/>
  </si>
  <si>
    <t>Coffee</t>
    <phoneticPr fontId="1" type="noConversion"/>
  </si>
  <si>
    <t>Pasta</t>
  </si>
  <si>
    <t>Cheese</t>
  </si>
  <si>
    <t>Unit Price</t>
    <phoneticPr fontId="1" type="noConversion"/>
  </si>
  <si>
    <t>Amount</t>
    <phoneticPr fontId="1" type="noConversion"/>
  </si>
  <si>
    <t>Company</t>
    <phoneticPr fontId="1" type="noConversion"/>
  </si>
  <si>
    <t>Date To Pay</t>
    <phoneticPr fontId="1" type="noConversion"/>
  </si>
  <si>
    <t>Purchase Order</t>
    <phoneticPr fontId="5" type="noConversion"/>
  </si>
  <si>
    <t>Date</t>
    <phoneticPr fontId="5" type="noConversion"/>
  </si>
  <si>
    <t>Item #</t>
    <phoneticPr fontId="5" type="noConversion"/>
  </si>
  <si>
    <t>Description</t>
    <phoneticPr fontId="5" type="noConversion"/>
  </si>
  <si>
    <t>Quantity</t>
    <phoneticPr fontId="5" type="noConversion"/>
  </si>
  <si>
    <t>Unit price</t>
    <phoneticPr fontId="5" type="noConversion"/>
  </si>
  <si>
    <t>Amount</t>
    <phoneticPr fontId="5" type="noConversion"/>
  </si>
  <si>
    <t>Subtotal</t>
    <phoneticPr fontId="5" type="noConversion"/>
  </si>
  <si>
    <t>Shipping</t>
    <phoneticPr fontId="5" type="noConversion"/>
  </si>
  <si>
    <t>Total</t>
    <phoneticPr fontId="5" type="noConversion"/>
  </si>
  <si>
    <t>Note</t>
    <phoneticPr fontId="5" type="noConversion"/>
  </si>
  <si>
    <t>Address:</t>
    <phoneticPr fontId="1" type="noConversion"/>
  </si>
  <si>
    <t>Company name:</t>
    <phoneticPr fontId="5" type="noConversion"/>
  </si>
  <si>
    <t>City:</t>
    <phoneticPr fontId="1" type="noConversion"/>
  </si>
  <si>
    <t>Postal code:</t>
    <phoneticPr fontId="1" type="noConversion"/>
  </si>
  <si>
    <t>Contact:</t>
    <phoneticPr fontId="1" type="noConversion"/>
  </si>
  <si>
    <t>Title:</t>
    <phoneticPr fontId="1" type="noConversion"/>
  </si>
  <si>
    <t>Phone:</t>
    <phoneticPr fontId="5" type="noConversion"/>
  </si>
  <si>
    <t>Fax:</t>
    <phoneticPr fontId="5" type="noConversion"/>
  </si>
  <si>
    <t>Order Information</t>
    <phoneticPr fontId="1" type="noConversion"/>
  </si>
  <si>
    <t>Supplier Information</t>
    <phoneticPr fontId="1" type="noConversion"/>
  </si>
  <si>
    <t>Discount%:</t>
    <phoneticPr fontId="1" type="noConversion"/>
  </si>
  <si>
    <t>Discount Days:</t>
    <phoneticPr fontId="1" type="noConversion"/>
  </si>
  <si>
    <t>Net Days:</t>
    <phoneticPr fontId="1" type="noConversion"/>
  </si>
  <si>
    <t>PO #</t>
    <phoneticPr fontId="5" type="noConversion"/>
  </si>
  <si>
    <t>PO #</t>
    <phoneticPr fontId="1" type="noConversion"/>
  </si>
  <si>
    <t>T001</t>
    <phoneticPr fontId="1" type="noConversion"/>
  </si>
  <si>
    <t>T002</t>
    <phoneticPr fontId="1" type="noConversion"/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</si>
  <si>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</si>
  <si>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</si>
  <si>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</si>
  <si>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</si>
  <si>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</si>
  <si>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</si>
  <si>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</si>
  <si>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</si>
  <si>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</si>
  <si>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</si>
  <si>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</si>
  <si>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</si>
  <si>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</si>
  <si>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</si>
  <si>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</si>
  <si>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</si>
  <si>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</si>
  <si>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</si>
  <si>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T021</t>
  </si>
  <si>
    <t>T022</t>
  </si>
  <si>
    <t>T023</t>
  </si>
  <si>
    <t>T024</t>
  </si>
  <si>
    <t>T025</t>
  </si>
  <si>
    <t>Net Days</t>
    <phoneticPr fontId="1" type="noConversion"/>
  </si>
  <si>
    <t>Date of the order</t>
    <phoneticPr fontId="5" type="noConversion"/>
  </si>
  <si>
    <t>Purchase of goods</t>
    <phoneticPr fontId="1" type="noConversion"/>
  </si>
  <si>
    <t>Quantity</t>
    <phoneticPr fontId="1" type="noConversion"/>
  </si>
  <si>
    <t>Unit price</t>
    <phoneticPr fontId="1" type="noConversion"/>
  </si>
  <si>
    <t>Actual required payment</t>
    <phoneticPr fontId="1" type="noConversion"/>
  </si>
  <si>
    <t>Purchase records</t>
    <phoneticPr fontId="1" type="noConversion"/>
  </si>
  <si>
    <t>Spice</t>
  </si>
  <si>
    <t>Bread</t>
  </si>
  <si>
    <t>Yogurt</t>
  </si>
  <si>
    <t>Cake</t>
  </si>
  <si>
    <t>Password: 1111</t>
    <phoneticPr fontId="1" type="noConversion"/>
  </si>
  <si>
    <t>Cost of Creadit</t>
  </si>
  <si>
    <t>Date To Pay</t>
  </si>
  <si>
    <t>Actual required payment</t>
  </si>
  <si>
    <t>Next PO #</t>
    <phoneticPr fontId="1" type="noConversion"/>
  </si>
  <si>
    <t>Cost of Credit</t>
    <phoneticPr fontId="1" type="noConversion"/>
  </si>
  <si>
    <t xml:space="preserve">Date: </t>
    <phoneticPr fontId="1" type="noConversion"/>
  </si>
  <si>
    <t xml:space="preserve">        </t>
    <phoneticPr fontId="1" type="noConversion"/>
  </si>
  <si>
    <t xml:space="preserve">       199 Taikang East Road, University of Nottingham, Trent Building</t>
    <phoneticPr fontId="1" type="noConversion"/>
  </si>
  <si>
    <t>Payable Register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</si>
</sst>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.00_);[Red]\(&quot;¥&quot;#,##0.00\)"/>
    <numFmt numFmtId="177" formatCode="&quot;¥&quot;#,##0.00_);[Red]\(&quot;¥&quot;#,##0.00\);"/>
    <numFmt numFmtId="178" formatCode="\P0000"/>
    <numFmt numFmtId="179" formatCode="&quot;$&quot;#,##0"/>
    <numFmt numFmtId="180" formatCode="&quot;$&quot;#,##0.00"/>
  </numFmts>
  <fonts count="20">
    <font>
      <sz val="12"/>
      <color theme="1"/>
      <name val="MicrosoftYaHei"/>
      <family val="2"/>
      <charset val="134"/>
    </font>
    <font>
      <sz val="9"/>
      <name val="MicrosoftYaHei"/>
      <family val="2"/>
      <charset val="134"/>
    </font>
    <font>
      <sz val="12"/>
      <color theme="1"/>
      <name val="Arial"/>
      <family val="2"/>
    </font>
    <font>
      <sz val="9"/>
      <name val="等线"/>
      <family val="2"/>
      <charset val="134"/>
      <scheme val="minor"/>
    </font>
    <font>
      <sz val="12"/>
      <color rgb="FF000000"/>
      <name val="Arial"/>
      <family val="2"/>
    </font>
    <font>
      <sz val="9"/>
      <name val="微軟正黑體"/>
      <family val="2"/>
      <charset val="136"/>
    </font>
    <font>
      <b/>
      <sz val="18"/>
      <color theme="0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4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MicrosoftYaHei"/>
      <family val="2"/>
      <charset val="134"/>
    </font>
    <font>
      <sz val="11"/>
      <color theme="1"/>
      <name val="Arial"/>
      <family val="2"/>
    </font>
    <font>
      <sz val="48"/>
      <color rgb="FF000000"/>
      <name val="Arial"/>
      <family val="2"/>
    </font>
    <font>
      <sz val="12"/>
      <color rgb="FF374151"/>
      <name val="Arial"/>
      <family val="2"/>
    </font>
    <font>
      <sz val="12"/>
      <color rgb="FFB2B29A"/>
      <name val="Arial"/>
      <family val="2"/>
    </font>
    <font>
      <b/>
      <u/>
      <sz val="18"/>
      <color rgb="FFC00000"/>
      <name val="Arial"/>
      <family val="2"/>
    </font>
    <font>
      <b/>
      <sz val="2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auto="1"/>
      </bottom>
      <diagonal/>
    </border>
    <border>
      <left/>
      <right/>
      <top style="thin">
        <color theme="6" tint="0.39994506668294322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0" fontId="7" fillId="3" borderId="0" xfId="0" applyFont="1" applyFill="1">
      <alignment vertical="center"/>
    </xf>
    <xf numFmtId="0" fontId="2" fillId="3" borderId="9" xfId="0" applyFont="1" applyFill="1" applyBorder="1">
      <alignment vertical="center"/>
    </xf>
    <xf numFmtId="0" fontId="7" fillId="3" borderId="9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176" fontId="2" fillId="3" borderId="13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  <protection locked="0"/>
    </xf>
    <xf numFmtId="0" fontId="2" fillId="3" borderId="15" xfId="0" applyFont="1" applyFill="1" applyBorder="1" applyAlignment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176" fontId="2" fillId="3" borderId="15" xfId="0" applyNumberFormat="1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77" fontId="2" fillId="3" borderId="13" xfId="0" applyNumberFormat="1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177" fontId="2" fillId="3" borderId="14" xfId="0" applyNumberFormat="1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177" fontId="2" fillId="3" borderId="16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7" fillId="3" borderId="1" xfId="0" applyFont="1" applyFill="1" applyBorder="1" applyAlignment="1">
      <alignment horizontal="right" vertical="center"/>
    </xf>
    <xf numFmtId="14" fontId="2" fillId="3" borderId="1" xfId="0" applyNumberFormat="1" applyFont="1" applyFill="1" applyBorder="1" applyProtection="1">
      <alignment vertical="center"/>
      <protection locked="0"/>
    </xf>
    <xf numFmtId="14" fontId="9" fillId="3" borderId="18" xfId="0" applyNumberFormat="1" applyFont="1" applyFill="1" applyBorder="1" applyProtection="1">
      <alignment vertical="center"/>
      <protection locked="0"/>
    </xf>
    <xf numFmtId="0" fontId="9" fillId="3" borderId="18" xfId="0" applyFont="1" applyFill="1" applyBorder="1">
      <alignment vertical="center"/>
    </xf>
    <xf numFmtId="0" fontId="9" fillId="3" borderId="0" xfId="0" applyFont="1" applyFill="1">
      <alignment vertical="center"/>
    </xf>
    <xf numFmtId="0" fontId="9" fillId="3" borderId="2" xfId="0" applyFont="1" applyFill="1" applyBorder="1">
      <alignment vertical="center"/>
    </xf>
    <xf numFmtId="14" fontId="9" fillId="3" borderId="18" xfId="0" applyNumberFormat="1" applyFont="1" applyFill="1" applyBorder="1">
      <alignment vertical="center"/>
    </xf>
    <xf numFmtId="0" fontId="9" fillId="3" borderId="18" xfId="0" applyFont="1" applyFill="1" applyBorder="1" applyAlignment="1">
      <alignment horizontal="left" vertical="center"/>
    </xf>
    <xf numFmtId="0" fontId="2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178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8" fontId="10" fillId="0" borderId="9" xfId="0" applyNumberFormat="1" applyFont="1" applyBorder="1" applyAlignment="1">
      <alignment horizontal="center" vertical="center"/>
    </xf>
    <xf numFmtId="9" fontId="9" fillId="3" borderId="18" xfId="0" applyNumberFormat="1" applyFont="1" applyFill="1" applyBorder="1">
      <alignment vertical="center"/>
    </xf>
    <xf numFmtId="180" fontId="2" fillId="0" borderId="0" xfId="0" applyNumberFormat="1" applyFont="1" applyAlignment="1">
      <alignment horizontal="center" vertical="center"/>
    </xf>
    <xf numFmtId="10" fontId="10" fillId="0" borderId="9" xfId="0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4" fontId="10" fillId="0" borderId="9" xfId="0" applyNumberFormat="1" applyFont="1" applyBorder="1" applyAlignment="1">
      <alignment horizontal="center" vertical="center"/>
    </xf>
    <xf numFmtId="178" fontId="2" fillId="3" borderId="11" xfId="0" applyNumberFormat="1" applyFont="1" applyFill="1" applyBorder="1" applyAlignment="1" applyProtection="1">
      <alignment horizontal="center"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>
      <alignment vertical="center" wrapText="1"/>
    </xf>
    <xf numFmtId="178" fontId="10" fillId="0" borderId="20" xfId="0" applyNumberFormat="1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0" fontId="10" fillId="0" borderId="26" xfId="1" applyNumberFormat="1" applyFont="1" applyBorder="1" applyAlignment="1">
      <alignment horizontal="center" vertical="center"/>
    </xf>
    <xf numFmtId="14" fontId="10" fillId="0" borderId="26" xfId="0" applyNumberFormat="1" applyFont="1" applyBorder="1" applyAlignment="1">
      <alignment horizontal="center" vertical="center"/>
    </xf>
    <xf numFmtId="176" fontId="10" fillId="0" borderId="26" xfId="0" applyNumberFormat="1" applyFont="1" applyBorder="1" applyAlignment="1">
      <alignment horizontal="center" vertical="center"/>
    </xf>
    <xf numFmtId="10" fontId="2" fillId="5" borderId="17" xfId="1" applyNumberFormat="1" applyFont="1" applyFill="1" applyBorder="1" applyAlignment="1">
      <alignment horizontal="center" vertical="center"/>
    </xf>
    <xf numFmtId="14" fontId="2" fillId="5" borderId="17" xfId="0" applyNumberFormat="1" applyFont="1" applyFill="1" applyBorder="1" applyAlignment="1">
      <alignment horizontal="center" vertical="center"/>
    </xf>
    <xf numFmtId="176" fontId="2" fillId="5" borderId="17" xfId="0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6" fontId="10" fillId="0" borderId="9" xfId="0" applyNumberFormat="1" applyFont="1" applyBorder="1" applyAlignment="1">
      <alignment horizontal="center" vertical="center"/>
    </xf>
    <xf numFmtId="0" fontId="2" fillId="3" borderId="19" xfId="0" applyFont="1" applyFill="1" applyBorder="1">
      <alignment vertical="center"/>
    </xf>
    <xf numFmtId="0" fontId="2" fillId="3" borderId="20" xfId="0" applyFont="1" applyFill="1" applyBorder="1">
      <alignment vertical="center"/>
    </xf>
    <xf numFmtId="0" fontId="2" fillId="3" borderId="22" xfId="0" applyFont="1" applyFill="1" applyBorder="1">
      <alignment vertical="center"/>
    </xf>
    <xf numFmtId="0" fontId="2" fillId="3" borderId="24" xfId="0" applyFont="1" applyFill="1" applyBorder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49" fontId="2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12" fillId="0" borderId="0" xfId="0" applyFont="1" applyAlignment="1">
      <alignment horizontal="right" vertical="center"/>
    </xf>
    <xf numFmtId="178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17" fillId="0" borderId="0" xfId="0" applyFont="1">
      <alignment vertical="center"/>
    </xf>
    <xf numFmtId="0" fontId="17" fillId="3" borderId="0" xfId="0" applyFont="1" applyFill="1">
      <alignment vertical="center"/>
    </xf>
    <xf numFmtId="0" fontId="18" fillId="0" borderId="0" xfId="0" applyFont="1">
      <alignment vertical="center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vertical="center" wrapText="1"/>
    </xf>
    <xf numFmtId="0" fontId="2" fillId="3" borderId="21" xfId="0" applyFont="1" applyFill="1" applyBorder="1">
      <alignment vertical="center"/>
    </xf>
    <xf numFmtId="0" fontId="2" fillId="3" borderId="23" xfId="0" applyFont="1" applyFill="1" applyBorder="1">
      <alignment vertical="center"/>
    </xf>
    <xf numFmtId="0" fontId="14" fillId="3" borderId="0" xfId="0" applyFont="1" applyFill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2" fillId="3" borderId="10" xfId="0" applyFont="1" applyFill="1" applyBorder="1" applyAlignment="1" applyProtection="1">
      <alignment horizontal="left" vertical="top"/>
      <protection locked="0"/>
    </xf>
    <xf numFmtId="0" fontId="2" fillId="3" borderId="17" xfId="0" applyFont="1" applyFill="1" applyBorder="1" applyAlignment="1" applyProtection="1">
      <alignment horizontal="left" vertical="top"/>
      <protection locked="0"/>
    </xf>
    <xf numFmtId="0" fontId="2" fillId="3" borderId="11" xfId="0" applyFont="1" applyFill="1" applyBorder="1" applyAlignment="1" applyProtection="1">
      <alignment horizontal="left" vertical="top"/>
      <protection locked="0"/>
    </xf>
    <xf numFmtId="0" fontId="2" fillId="3" borderId="12" xfId="0" applyFont="1" applyFill="1" applyBorder="1" applyAlignment="1" applyProtection="1">
      <alignment horizontal="left" vertical="top"/>
      <protection locked="0"/>
    </xf>
    <xf numFmtId="0" fontId="2" fillId="3" borderId="18" xfId="0" applyFont="1" applyFill="1" applyBorder="1" applyAlignment="1" applyProtection="1">
      <alignment horizontal="left" vertical="top"/>
      <protection locked="0"/>
    </xf>
    <xf numFmtId="0" fontId="2" fillId="3" borderId="3" xfId="0" applyFont="1" applyFill="1" applyBorder="1" applyAlignment="1" applyProtection="1">
      <alignment horizontal="left" vertical="top"/>
      <protection locked="0"/>
    </xf>
    <xf numFmtId="0" fontId="6" fillId="4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178" fontId="2" fillId="0" borderId="20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4" fontId="2" fillId="0" borderId="20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9" fontId="2" fillId="0" borderId="20" xfId="0" applyNumberFormat="1" applyFont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80" fontId="2" fillId="0" borderId="20" xfId="0" applyNumberFormat="1" applyFont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</cellXfs>
  <cellStyles count="2">
    <cellStyle name="Normal" xfId="0" builtinId="0"/>
    <cellStyle name="Per cent" xfId="1" builtinId="5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6" formatCode="&quot;¥&quot;#,##0.00_);[Red]\(&quot;¥&quot;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yyyy/m/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6" formatCode="&quot;¥&quot;#,##0.00_);[Red]\(&quot;¥&quot;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yyyy/m/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8" formatCode="\P00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76" formatCode="&quot;¥&quot;#,##0.00_);[Red]\(&quot;¥&quot;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top style="medium">
          <color rgb="FF000000"/>
        </top>
      </border>
    </dxf>
    <dxf>
      <font>
        <strike val="0"/>
        <outline val="0"/>
        <shadow val="0"/>
        <u val="none"/>
        <vertAlign val="baseline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76A25"/>
      <color rgb="FFFE8531"/>
      <color rgb="FFF27F2F"/>
      <color rgb="FF733F15"/>
      <color rgb="FFC95B16"/>
      <color rgb="FFFFF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735816</xdr:colOff>
      <xdr:row>10</xdr:row>
      <xdr:rowOff>157142</xdr:rowOff>
    </xdr:from>
    <xdr:to>
      <xdr:col>3</xdr:col>
      <xdr:colOff>339576</xdr:colOff>
      <xdr:row>13</xdr:row>
      <xdr:rowOff>4742</xdr:rowOff>
    </xdr:to>
    <xdr:sp macro="[0]!GotoPO" textlink="">
      <xdr:nvSpPr>
        <xdr:cNvPr id="2" name="圆角矩形 1">
          <a:extLst>
            <a:ext uri="{FF2B5EF4-FFF2-40B4-BE49-F238E27FC236}">
              <a16:creationId xmlns:a16="http://schemas.microsoft.com/office/drawing/2014/main" id="{9A2A906A-AEF5-7542-ABF8-D2157322D9A2}"/>
            </a:ext>
          </a:extLst>
        </xdr:cNvPr>
        <xdr:cNvSpPr/>
      </xdr:nvSpPr>
      <xdr:spPr>
        <a:xfrm>
          <a:off x="1711176" y="2341542"/>
          <a:ext cx="1554480" cy="457200"/>
        </a:xfrm>
        <a:prstGeom prst="roundRect">
          <a:avLst>
            <a:gd name="adj" fmla="val 50000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300" b="0">
              <a:latin typeface="Arial" panose="020B0604020202020204" pitchFamily="34" charset="0"/>
              <a:cs typeface="Arial" panose="020B0604020202020204" pitchFamily="34" charset="0"/>
            </a:rPr>
            <a:t>PO Sheet</a:t>
          </a:r>
          <a:endParaRPr lang="zh-CN" altLang="en-US" sz="13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253241</xdr:colOff>
      <xdr:row>10</xdr:row>
      <xdr:rowOff>157142</xdr:rowOff>
    </xdr:from>
    <xdr:to>
      <xdr:col>5</xdr:col>
      <xdr:colOff>832361</xdr:colOff>
      <xdr:row>13</xdr:row>
      <xdr:rowOff>4742</xdr:rowOff>
    </xdr:to>
    <xdr:sp macro="[0]!Gotoprice" textlink="">
      <xdr:nvSpPr>
        <xdr:cNvPr id="3" name="圆角矩形 2">
          <a:extLst>
            <a:ext uri="{FF2B5EF4-FFF2-40B4-BE49-F238E27FC236}">
              <a16:creationId xmlns:a16="http://schemas.microsoft.com/office/drawing/2014/main" id="{CA0F3BCC-E1B1-2A40-8EC6-021C86A5040B}"/>
            </a:ext>
          </a:extLst>
        </xdr:cNvPr>
        <xdr:cNvSpPr/>
      </xdr:nvSpPr>
      <xdr:spPr>
        <a:xfrm>
          <a:off x="4154681" y="2341542"/>
          <a:ext cx="1554480" cy="457200"/>
        </a:xfrm>
        <a:prstGeom prst="roundRect">
          <a:avLst>
            <a:gd name="adj" fmla="val 50000"/>
          </a:avLst>
        </a:prstGeom>
        <a:solidFill>
          <a:schemeClr val="accent2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300" b="0">
              <a:latin typeface="Arial" panose="020B0604020202020204" pitchFamily="34" charset="0"/>
              <a:cs typeface="Arial" panose="020B0604020202020204" pitchFamily="34" charset="0"/>
            </a:rPr>
            <a:t>Price List</a:t>
          </a:r>
          <a:endParaRPr lang="zh-CN" altLang="en-US" sz="13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519994</xdr:colOff>
      <xdr:row>13</xdr:row>
      <xdr:rowOff>247457</xdr:rowOff>
    </xdr:from>
    <xdr:to>
      <xdr:col>4</xdr:col>
      <xdr:colOff>580954</xdr:colOff>
      <xdr:row>14</xdr:row>
      <xdr:rowOff>410017</xdr:rowOff>
    </xdr:to>
    <xdr:sp macro="[0]!Gotoregister" textlink="">
      <xdr:nvSpPr>
        <xdr:cNvPr id="4" name="圆角矩形 3">
          <a:extLst>
            <a:ext uri="{FF2B5EF4-FFF2-40B4-BE49-F238E27FC236}">
              <a16:creationId xmlns:a16="http://schemas.microsoft.com/office/drawing/2014/main" id="{89202A64-A62F-4541-9D35-95568ECA009B}"/>
            </a:ext>
          </a:extLst>
        </xdr:cNvPr>
        <xdr:cNvSpPr/>
      </xdr:nvSpPr>
      <xdr:spPr>
        <a:xfrm>
          <a:off x="2470714" y="3041457"/>
          <a:ext cx="2011680" cy="457200"/>
        </a:xfrm>
        <a:prstGeom prst="roundRect">
          <a:avLst>
            <a:gd name="adj" fmla="val 50000"/>
          </a:avLst>
        </a:prstGeom>
        <a:solidFill>
          <a:schemeClr val="accent2">
            <a:lumMod val="75000"/>
            <a:alpha val="94118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3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Payable Register</a:t>
          </a:r>
          <a:endParaRPr lang="zh-CN" altLang="en-US" sz="13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746025</xdr:colOff>
      <xdr:row>10</xdr:row>
      <xdr:rowOff>157142</xdr:rowOff>
    </xdr:from>
    <xdr:to>
      <xdr:col>8</xdr:col>
      <xdr:colOff>349785</xdr:colOff>
      <xdr:row>13</xdr:row>
      <xdr:rowOff>4742</xdr:rowOff>
    </xdr:to>
    <xdr:sp macro="[0]!Gotosuppliers" textlink="">
      <xdr:nvSpPr>
        <xdr:cNvPr id="5" name="圆角矩形 4">
          <a:extLst>
            <a:ext uri="{FF2B5EF4-FFF2-40B4-BE49-F238E27FC236}">
              <a16:creationId xmlns:a16="http://schemas.microsoft.com/office/drawing/2014/main" id="{969E1571-EC34-9843-8C6A-0B82FD3B5E91}"/>
            </a:ext>
          </a:extLst>
        </xdr:cNvPr>
        <xdr:cNvSpPr/>
      </xdr:nvSpPr>
      <xdr:spPr>
        <a:xfrm>
          <a:off x="6598185" y="2341542"/>
          <a:ext cx="1554480" cy="457200"/>
        </a:xfrm>
        <a:prstGeom prst="roundRect">
          <a:avLst>
            <a:gd name="adj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300" b="0">
              <a:latin typeface="Arial" panose="020B0604020202020204" pitchFamily="34" charset="0"/>
              <a:cs typeface="Arial" panose="020B0604020202020204" pitchFamily="34" charset="0"/>
            </a:rPr>
            <a:t>Supplier List</a:t>
          </a:r>
          <a:endParaRPr lang="zh-CN" altLang="en-US" sz="13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945660</xdr:colOff>
      <xdr:row>3</xdr:row>
      <xdr:rowOff>118140</xdr:rowOff>
    </xdr:from>
    <xdr:to>
      <xdr:col>7</xdr:col>
      <xdr:colOff>4956</xdr:colOff>
      <xdr:row>8</xdr:row>
      <xdr:rowOff>92150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88B1410F-AC4E-FA4F-B4AB-087C96FC9A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79" b="20635"/>
        <a:stretch/>
      </xdr:blipFill>
      <xdr:spPr>
        <a:xfrm>
          <a:off x="1922583" y="746162"/>
          <a:ext cx="4912555" cy="1020713"/>
        </a:xfrm>
        <a:prstGeom prst="rect">
          <a:avLst/>
        </a:prstGeom>
      </xdr:spPr>
    </xdr:pic>
    <xdr:clientData/>
  </xdr:twoCellAnchor>
  <xdr:oneCellAnchor>
    <xdr:from>
      <xdr:col>5</xdr:col>
      <xdr:colOff>451682</xdr:colOff>
      <xdr:row>7</xdr:row>
      <xdr:rowOff>115116</xdr:rowOff>
    </xdr:from>
    <xdr:ext cx="2993640" cy="664797"/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B51263E-F4CC-8D44-B2A3-8F6CD9EDAAFC}"/>
            </a:ext>
          </a:extLst>
        </xdr:cNvPr>
        <xdr:cNvSpPr/>
      </xdr:nvSpPr>
      <xdr:spPr>
        <a:xfrm>
          <a:off x="5345260" y="1524933"/>
          <a:ext cx="2993640" cy="66479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ush Script MT" panose="03060802040406070304" pitchFamily="66" charset="-122"/>
              <a:ea typeface="Brush Script MT" panose="03060802040406070304" pitchFamily="66" charset="-122"/>
              <a:cs typeface="Brush Script MT" panose="03060802040406070304" pitchFamily="66" charset="-122"/>
            </a:rPr>
            <a:t>Purchase Order System</a:t>
          </a:r>
          <a:endParaRPr lang="zh-CN" altLang="en-US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ush Script MT" panose="03060802040406070304" pitchFamily="66" charset="-122"/>
            <a:ea typeface="Brush Script MT" panose="03060802040406070304" pitchFamily="66" charset="-122"/>
            <a:cs typeface="Brush Script MT" panose="03060802040406070304" pitchFamily="66" charset="-122"/>
          </a:endParaRPr>
        </a:p>
      </xdr:txBody>
    </xdr:sp>
    <xdr:clientData/>
  </xdr:oneCellAnchor>
  <xdr:twoCellAnchor editAs="oneCell">
    <xdr:from>
      <xdr:col>6</xdr:col>
      <xdr:colOff>788533</xdr:colOff>
      <xdr:row>3</xdr:row>
      <xdr:rowOff>47430</xdr:rowOff>
    </xdr:from>
    <xdr:to>
      <xdr:col>7</xdr:col>
      <xdr:colOff>661535</xdr:colOff>
      <xdr:row>7</xdr:row>
      <xdr:rowOff>85265</xdr:rowOff>
    </xdr:to>
    <xdr:pic>
      <xdr:nvPicPr>
        <xdr:cNvPr id="8" name="图形 7" descr="马提尼酒 纯色填充">
          <a:extLst>
            <a:ext uri="{FF2B5EF4-FFF2-40B4-BE49-F238E27FC236}">
              <a16:creationId xmlns:a16="http://schemas.microsoft.com/office/drawing/2014/main" id="{33F647E3-B42B-2C48-BF7D-146C53EA5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650071" y="675452"/>
          <a:ext cx="849926" cy="875198"/>
        </a:xfrm>
        <a:prstGeom prst="rect">
          <a:avLst/>
        </a:prstGeom>
      </xdr:spPr>
    </xdr:pic>
    <xdr:clientData/>
  </xdr:twoCellAnchor>
  <xdr:oneCellAnchor>
    <xdr:from>
      <xdr:col>0</xdr:col>
      <xdr:colOff>942108</xdr:colOff>
      <xdr:row>19</xdr:row>
      <xdr:rowOff>239566</xdr:rowOff>
    </xdr:from>
    <xdr:ext cx="8648932" cy="12135314"/>
    <xdr:sp macro="" textlink="">
      <xdr:nvSpPr>
        <xdr:cNvPr id="9" name="TextBox 9">
          <a:extLst>
            <a:ext uri="{FF2B5EF4-FFF2-40B4-BE49-F238E27FC236}">
              <a16:creationId xmlns:a16="http://schemas.microsoft.com/office/drawing/2014/main" id="{841F7C09-1FE7-5340-84BE-DADB8788738B}"/>
            </a:ext>
          </a:extLst>
        </xdr:cNvPr>
        <xdr:cNvSpPr txBox="1"/>
      </xdr:nvSpPr>
      <xdr:spPr>
        <a:xfrm>
          <a:off x="942108" y="4811566"/>
          <a:ext cx="8648932" cy="12135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600"/>
            <a:t>Gusto Bistro is a restaurant dedicated to providing eating and social spaces for people.</a:t>
          </a:r>
          <a:r>
            <a:rPr lang="en-US" altLang="zh-CN" sz="1600" baseline="0"/>
            <a:t> </a:t>
          </a:r>
          <a:r>
            <a:rPr lang="en-US" altLang="zh-CN" sz="1600"/>
            <a:t>It </a:t>
          </a:r>
        </a:p>
        <a:p>
          <a:pPr algn="l"/>
          <a:r>
            <a:rPr lang="en-US" altLang="zh-CN" sz="1600"/>
            <a:t>offers a fusion of cuisine all over the world. Located at </a:t>
          </a:r>
          <a:r>
            <a:rPr lang="en-US" altLang="zh-CN" sz="1600">
              <a:solidFill>
                <a:schemeClr val="accent5">
                  <a:lumMod val="75000"/>
                </a:schemeClr>
              </a:solidFill>
            </a:rPr>
            <a:t>199 Taikang East Road, University of </a:t>
          </a:r>
        </a:p>
        <a:p>
          <a:pPr algn="l"/>
          <a:r>
            <a:rPr lang="en-US" altLang="zh-CN" sz="1600">
              <a:solidFill>
                <a:schemeClr val="accent5">
                  <a:lumMod val="75000"/>
                </a:schemeClr>
              </a:solidFill>
            </a:rPr>
            <a:t>Nottingham, Trent Building,</a:t>
          </a:r>
          <a:r>
            <a:rPr lang="en-US" altLang="zh-CN" sz="1600"/>
            <a:t> it has drawn much attention and become super famous in the </a:t>
          </a:r>
        </a:p>
        <a:p>
          <a:pPr algn="l"/>
          <a:r>
            <a:rPr lang="en-US" altLang="zh-CN" sz="1600"/>
            <a:t>nearby community. With the expansion of the business, this advanced and completed </a:t>
          </a:r>
        </a:p>
        <a:p>
          <a:pPr algn="l"/>
          <a:r>
            <a:rPr lang="en-US" altLang="zh-CN" sz="1600"/>
            <a:t>system is introduced, aiming to record all the supplier and purchase information based on a </a:t>
          </a:r>
        </a:p>
        <a:p>
          <a:pPr algn="l"/>
          <a:r>
            <a:rPr lang="en-US" altLang="zh-CN" sz="1600"/>
            <a:t>computer system (mainly Excel) to avoid man-made errors as much as possible. Now, please </a:t>
          </a:r>
        </a:p>
        <a:p>
          <a:pPr algn="l"/>
          <a:r>
            <a:rPr lang="en-US" altLang="zh-CN" sz="1600"/>
            <a:t>unprotect the PO sheet with the password above.</a:t>
          </a:r>
        </a:p>
        <a:p>
          <a:pPr algn="l"/>
          <a:endParaRPr lang="en-US" altLang="zh-CN" sz="1600"/>
        </a:p>
        <a:p>
          <a:pPr algn="l"/>
          <a:r>
            <a:rPr lang="en-US" altLang="zh-CN" sz="1600"/>
            <a:t>Here is the </a:t>
          </a:r>
          <a:r>
            <a:rPr lang="en-US" altLang="zh-CN" sz="1600">
              <a:solidFill>
                <a:schemeClr val="accent5">
                  <a:lumMod val="75000"/>
                </a:schemeClr>
              </a:solidFill>
            </a:rPr>
            <a:t>User Guide </a:t>
          </a:r>
          <a:r>
            <a:rPr lang="en-US" altLang="zh-CN" sz="1600"/>
            <a:t>to help you have a better experience in operating this system.</a:t>
          </a:r>
        </a:p>
        <a:p>
          <a:pPr algn="l"/>
          <a:r>
            <a:rPr lang="en-US" altLang="zh-CN" sz="1600" b="1">
              <a:solidFill>
                <a:srgbClr val="C00000"/>
              </a:solidFill>
            </a:rPr>
            <a:t>Wish you a smooth and pleasant journey!</a:t>
          </a:r>
        </a:p>
        <a:p>
          <a:pPr algn="l"/>
          <a:endParaRPr lang="en-US" altLang="zh-CN" sz="1600" b="1">
            <a:solidFill>
              <a:srgbClr val="C00000"/>
            </a:solidFill>
          </a:endParaRPr>
        </a:p>
        <a:p>
          <a:pPr algn="l"/>
          <a:endParaRPr lang="en-US" altLang="zh-CN" sz="1600" b="1">
            <a:solidFill>
              <a:srgbClr val="C00000"/>
            </a:solidFill>
          </a:endParaRPr>
        </a:p>
        <a:p>
          <a:pPr algn="l"/>
          <a:endParaRPr lang="en-US" altLang="zh-CN" sz="1600" b="1">
            <a:solidFill>
              <a:srgbClr val="C00000"/>
            </a:solidFill>
          </a:endParaRPr>
        </a:p>
        <a:p>
          <a:pPr algn="l"/>
          <a:r>
            <a:rPr lang="en-US" altLang="zh-CN" sz="1600" b="1">
              <a:solidFill>
                <a:sysClr val="windowText" lastClr="000000"/>
              </a:solidFill>
            </a:rPr>
            <a:t>                                                                      </a:t>
          </a:r>
          <a:r>
            <a:rPr lang="en-US" altLang="zh-CN" sz="1600" b="1" baseline="0">
              <a:solidFill>
                <a:sysClr val="windowText" lastClr="000000"/>
              </a:solidFill>
            </a:rPr>
            <a:t> </a:t>
          </a:r>
          <a:r>
            <a:rPr lang="en-US" altLang="zh-CN" sz="1600" b="1">
              <a:solidFill>
                <a:sysClr val="windowText" lastClr="000000"/>
              </a:solidFill>
            </a:rPr>
            <a:t> </a:t>
          </a:r>
          <a:r>
            <a:rPr lang="en-US" altLang="zh-CN" sz="2400" b="1">
              <a:solidFill>
                <a:sysClr val="windowText" lastClr="000000"/>
              </a:solidFill>
            </a:rPr>
            <a:t>USER GUIDE</a:t>
          </a:r>
        </a:p>
        <a:p>
          <a:pPr algn="l"/>
          <a:endParaRPr lang="en-US" altLang="zh-CN" sz="2400" b="0">
            <a:solidFill>
              <a:sysClr val="windowText" lastClr="000000"/>
            </a:solidFill>
          </a:endParaRPr>
        </a:p>
        <a:p>
          <a:pPr algn="l"/>
          <a:r>
            <a:rPr lang="en-US" altLang="zh-CN" sz="1600" b="1"/>
            <a:t>1. Go to Register</a:t>
          </a:r>
        </a:p>
        <a:p>
          <a:pPr algn="l"/>
          <a:r>
            <a:rPr lang="en-US" altLang="zh-CN" sz="1600" b="1"/>
            <a:t>Purpose: </a:t>
          </a:r>
          <a:r>
            <a:rPr lang="en-US" altLang="zh-CN" sz="1600"/>
            <a:t>Navigate to the "Register" sheet.</a:t>
          </a:r>
        </a:p>
        <a:p>
          <a:pPr algn="l"/>
          <a:r>
            <a:rPr lang="en-US" altLang="zh-CN" sz="1600" b="1"/>
            <a:t>Usage: </a:t>
          </a:r>
          <a:r>
            <a:rPr lang="en-US" altLang="zh-CN" sz="1600"/>
            <a:t>Click this button when you wish to view the Register sheet.</a:t>
          </a:r>
        </a:p>
        <a:p>
          <a:pPr algn="l"/>
          <a:endParaRPr lang="en-US" altLang="zh-CN" sz="1600"/>
        </a:p>
        <a:p>
          <a:pPr algn="l"/>
          <a:r>
            <a:rPr lang="en-US" altLang="zh-CN" sz="1600" b="1"/>
            <a:t>2. Create a New purchase order</a:t>
          </a:r>
        </a:p>
        <a:p>
          <a:pPr algn="l"/>
          <a:r>
            <a:rPr lang="en-US" altLang="zh-CN" sz="1600" b="1"/>
            <a:t>Purpose: </a:t>
          </a:r>
          <a:r>
            <a:rPr lang="en-US" altLang="zh-CN" sz="1600"/>
            <a:t>Clears the current data, allowing for a new purchase order entry.</a:t>
          </a:r>
          <a:r>
            <a:rPr lang="zh-CN" altLang="en-US" sz="1600"/>
            <a:t> </a:t>
          </a:r>
          <a:endParaRPr lang="en-US" altLang="zh-CN" sz="16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1"/>
            <a:t>Usage: </a:t>
          </a:r>
          <a:r>
            <a:rPr lang="en-US" altLang="zh-CN" sz="1600"/>
            <a:t>Click this button to start a new purchase order. It will clear the current data and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/>
            <a:t>automatically fill in the latest order number and date. You can use</a:t>
          </a:r>
          <a:r>
            <a:rPr lang="zh-CN" altLang="en-US" sz="1600"/>
            <a:t> </a:t>
          </a:r>
          <a:r>
            <a:rPr lang="en" altLang="zh-CN" sz="1600"/>
            <a:t>the drop-down list to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" altLang="zh-CN" sz="1600"/>
            <a:t>select the company name and the items ('Description') </a:t>
          </a:r>
          <a:r>
            <a:rPr lang="en-US" altLang="zh-CN" sz="1600"/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1">
              <a:solidFill>
                <a:srgbClr val="C00000"/>
              </a:solidFill>
            </a:rPr>
            <a:t>!Notice: Based on user-friendly considerations, we chose to let users directly enter the item name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1">
              <a:solidFill>
                <a:srgbClr val="C00000"/>
              </a:solidFill>
            </a:rPr>
            <a:t>instead of the number.</a:t>
          </a:r>
          <a:r>
            <a:rPr lang="zh-CN" altLang="en-US" sz="1600" b="1">
              <a:solidFill>
                <a:srgbClr val="C00000"/>
              </a:solidFill>
            </a:rPr>
            <a:t> </a:t>
          </a:r>
          <a:r>
            <a:rPr lang="en-US" altLang="zh-CN" sz="1600" b="1">
              <a:solidFill>
                <a:srgbClr val="C00000"/>
              </a:solidFill>
            </a:rPr>
            <a:t>In this way, users can directly select the items they want to buy without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1">
              <a:solidFill>
                <a:srgbClr val="C00000"/>
              </a:solidFill>
            </a:rPr>
            <a:t>having to remember their corresponding numbers.</a:t>
          </a:r>
          <a:endParaRPr lang="en-US" altLang="zh-CN" sz="1600"/>
        </a:p>
        <a:p>
          <a:pPr algn="l"/>
          <a:endParaRPr lang="en-US" altLang="zh-CN" sz="1600"/>
        </a:p>
        <a:p>
          <a:pPr algn="l"/>
          <a:r>
            <a:rPr lang="en-US" altLang="zh-CN" sz="1600" b="1"/>
            <a:t>3.  Input the Company Name</a:t>
          </a:r>
        </a:p>
        <a:p>
          <a:pPr algn="l"/>
          <a:r>
            <a:rPr lang="en-US" altLang="zh-CN" sz="1600" b="1"/>
            <a:t>Purpose: </a:t>
          </a:r>
          <a:r>
            <a:rPr lang="en" altLang="zh-CN" sz="1600"/>
            <a:t>Provide users with a </a:t>
          </a:r>
          <a:r>
            <a:rPr lang="en-US" altLang="zh-CN" sz="1600"/>
            <a:t>2nd</a:t>
          </a:r>
          <a:r>
            <a:rPr lang="en" altLang="zh-CN" sz="1600"/>
            <a:t> way to enter the company name in addition to the drop-down list.</a:t>
          </a:r>
          <a:endParaRPr lang="en-US" altLang="zh-CN" sz="1600"/>
        </a:p>
        <a:p>
          <a:pPr algn="l"/>
          <a:r>
            <a:rPr lang="en-US" altLang="zh-CN" sz="1600" b="1"/>
            <a:t>Usage: </a:t>
          </a:r>
          <a:r>
            <a:rPr lang="en-US" altLang="zh-CN" sz="1600"/>
            <a:t>Click this button and an input</a:t>
          </a:r>
          <a:r>
            <a:rPr lang="en-US" altLang="zh-CN" sz="1600" baseline="0"/>
            <a:t> box</a:t>
          </a:r>
          <a:r>
            <a:rPr lang="en-US" altLang="zh-CN" sz="1600"/>
            <a:t> will appear. Enter the full company name and the system </a:t>
          </a:r>
        </a:p>
        <a:p>
          <a:pPr algn="l"/>
          <a:r>
            <a:rPr lang="en-US" altLang="zh-CN" sz="1600"/>
            <a:t>will autofill relevant company details for you.</a:t>
          </a:r>
        </a:p>
        <a:p>
          <a:pPr algn="l"/>
          <a:endParaRPr lang="en-US" altLang="zh-CN" sz="1600"/>
        </a:p>
        <a:p>
          <a:pPr algn="l"/>
          <a:r>
            <a:rPr lang="en-US" altLang="zh-CN" sz="1600" b="1"/>
            <a:t>4. Store PO Information</a:t>
          </a:r>
        </a:p>
        <a:p>
          <a:pPr algn="l"/>
          <a:r>
            <a:rPr lang="en-US" altLang="zh-CN" sz="1600" b="1"/>
            <a:t>Purpose: </a:t>
          </a:r>
          <a:r>
            <a:rPr lang="en-US" altLang="zh-CN" sz="1600"/>
            <a:t>Saves the filled purchase order to the "Register" sheet and “Purchase records” sheet.</a:t>
          </a:r>
        </a:p>
        <a:p>
          <a:pPr algn="l"/>
          <a:r>
            <a:rPr lang="en-US" altLang="zh-CN" sz="1600" b="1"/>
            <a:t>Usage: </a:t>
          </a:r>
          <a:r>
            <a:rPr lang="en-US" altLang="zh-CN" sz="1600" b="0"/>
            <a:t>Choose specific</a:t>
          </a:r>
          <a:r>
            <a:rPr lang="en-US" altLang="zh-CN" sz="1600" b="0" baseline="0"/>
            <a:t> items in the description column.</a:t>
          </a:r>
          <a:r>
            <a:rPr lang="zh-CN" altLang="en-US" sz="1600" b="0"/>
            <a:t> </a:t>
          </a:r>
          <a:r>
            <a:rPr lang="en-US" altLang="zh-CN" sz="1600" b="0"/>
            <a:t>O</a:t>
          </a:r>
          <a:r>
            <a:rPr lang="en-US" altLang="zh-CN" sz="1600"/>
            <a:t>nce your purchase order is complete, click </a:t>
          </a:r>
        </a:p>
        <a:p>
          <a:pPr algn="l"/>
          <a:r>
            <a:rPr lang="en-US" altLang="zh-CN" sz="1600"/>
            <a:t>this button to record it in the "Register" sheet and “Purchase records” sheet.</a:t>
          </a:r>
        </a:p>
        <a:p>
          <a:pPr algn="l"/>
          <a:endParaRPr lang="en-US" altLang="zh-CN" sz="1600"/>
        </a:p>
        <a:p>
          <a:pPr algn="l"/>
          <a:r>
            <a:rPr lang="en-US" altLang="zh-CN" sz="1600" b="1"/>
            <a:t>5. Search historical purchases</a:t>
          </a:r>
        </a:p>
        <a:p>
          <a:pPr algn="l"/>
          <a:r>
            <a:rPr lang="en-US" altLang="zh-CN" sz="1600" b="1"/>
            <a:t>Purpose: </a:t>
          </a:r>
          <a:r>
            <a:rPr lang="en-US" altLang="zh-CN" sz="1600"/>
            <a:t>Look for the previous order information by the order number.</a:t>
          </a:r>
        </a:p>
        <a:p>
          <a:pPr algn="l"/>
          <a:r>
            <a:rPr lang="en-US" altLang="zh-CN" sz="1600" b="1"/>
            <a:t>Usage: </a:t>
          </a:r>
          <a:r>
            <a:rPr lang="en-US" altLang="zh-CN" sz="1600"/>
            <a:t>Click it and type in the order number in the pop-up windows. </a:t>
          </a:r>
        </a:p>
        <a:p>
          <a:pPr algn="l"/>
          <a:r>
            <a:rPr lang="en-US" altLang="zh-CN" sz="1600" b="1">
              <a:solidFill>
                <a:srgbClr val="C00000"/>
              </a:solidFill>
            </a:rPr>
            <a:t>!Notice: PLEASE JUST TYPE IN THE NUMBER! Like: 7 for P0007.</a:t>
          </a:r>
        </a:p>
        <a:p>
          <a:pPr algn="l"/>
          <a:endParaRPr lang="en-US" altLang="zh-CN" sz="1600"/>
        </a:p>
        <a:p>
          <a:pPr algn="l"/>
          <a:r>
            <a:rPr lang="en-US" altLang="zh-CN" sz="1600" b="1"/>
            <a:t>6. Save as a PDF document.</a:t>
          </a:r>
        </a:p>
        <a:p>
          <a:pPr algn="l"/>
          <a:r>
            <a:rPr lang="en-US" altLang="zh-CN" sz="1600" b="1"/>
            <a:t>Purpose: </a:t>
          </a:r>
          <a:r>
            <a:rPr lang="en-US" altLang="zh-CN" sz="1600"/>
            <a:t>This button can help you save the separate PDF format</a:t>
          </a:r>
          <a:r>
            <a:rPr lang="zh-CN" altLang="en-US" sz="1600"/>
            <a:t> </a:t>
          </a:r>
          <a:r>
            <a:rPr lang="en-US" altLang="zh-CN" sz="1600"/>
            <a:t>PO</a:t>
          </a:r>
          <a:r>
            <a:rPr lang="zh-CN" altLang="en-US" sz="1600"/>
            <a:t> </a:t>
          </a:r>
          <a:r>
            <a:rPr lang="en-US" altLang="zh-CN" sz="1600"/>
            <a:t>form automatically,</a:t>
          </a:r>
          <a:r>
            <a:rPr lang="en-US" altLang="zh-CN" sz="1600" baseline="0"/>
            <a:t> </a:t>
          </a:r>
          <a:r>
            <a:rPr lang="en-US" altLang="zh-CN" sz="1600"/>
            <a:t>making it </a:t>
          </a:r>
        </a:p>
        <a:p>
          <a:pPr algn="l"/>
          <a:r>
            <a:rPr lang="en-US" altLang="zh-CN" sz="1600"/>
            <a:t>easy for users to print the paper version.</a:t>
          </a:r>
        </a:p>
        <a:p>
          <a:pPr algn="l"/>
          <a:r>
            <a:rPr lang="en-US" altLang="zh-CN" sz="1600" b="1"/>
            <a:t>Usage: </a:t>
          </a:r>
          <a:r>
            <a:rPr lang="en-US" altLang="zh-CN" sz="1600"/>
            <a:t>You can click this button to save the PDF format</a:t>
          </a:r>
          <a:r>
            <a:rPr lang="zh-CN" altLang="en-US" sz="1600"/>
            <a:t> </a:t>
          </a:r>
          <a:r>
            <a:rPr lang="en-US" altLang="zh-CN" sz="1600"/>
            <a:t>PO</a:t>
          </a:r>
          <a:r>
            <a:rPr lang="zh-CN" altLang="en-US" sz="1600"/>
            <a:t> </a:t>
          </a:r>
          <a:r>
            <a:rPr lang="en-US" altLang="zh-CN" sz="1600"/>
            <a:t>form on your computer</a:t>
          </a:r>
          <a:r>
            <a:rPr lang="zh-CN" altLang="en-US" sz="1600"/>
            <a:t> </a:t>
          </a:r>
          <a:r>
            <a:rPr lang="en-US" altLang="zh-CN" sz="1600"/>
            <a:t>desktop.</a:t>
          </a:r>
          <a:endParaRPr lang="zh-CN" altLang="en-US" sz="1600"/>
        </a:p>
      </xdr:txBody>
    </xdr:sp>
    <xdr:clientData/>
  </xdr:oneCellAnchor>
  <xdr:twoCellAnchor>
    <xdr:from>
      <xdr:col>5</xdr:col>
      <xdr:colOff>451682</xdr:colOff>
      <xdr:row>13</xdr:row>
      <xdr:rowOff>247457</xdr:rowOff>
    </xdr:from>
    <xdr:to>
      <xdr:col>7</xdr:col>
      <xdr:colOff>512642</xdr:colOff>
      <xdr:row>14</xdr:row>
      <xdr:rowOff>410017</xdr:rowOff>
    </xdr:to>
    <xdr:sp macro="[0]!GotoPurchase" textlink="">
      <xdr:nvSpPr>
        <xdr:cNvPr id="10" name="圆角矩形 9">
          <a:extLst>
            <a:ext uri="{FF2B5EF4-FFF2-40B4-BE49-F238E27FC236}">
              <a16:creationId xmlns:a16="http://schemas.microsoft.com/office/drawing/2014/main" id="{ADDA64BD-675E-2E49-B9CB-2C4F57AB9777}"/>
            </a:ext>
          </a:extLst>
        </xdr:cNvPr>
        <xdr:cNvSpPr/>
      </xdr:nvSpPr>
      <xdr:spPr>
        <a:xfrm>
          <a:off x="5328482" y="3041457"/>
          <a:ext cx="2011680" cy="457200"/>
        </a:xfrm>
        <a:prstGeom prst="roundRect">
          <a:avLst>
            <a:gd name="adj" fmla="val 50000"/>
          </a:avLst>
        </a:prstGeom>
        <a:solidFill>
          <a:schemeClr val="accent2">
            <a:lumMod val="50000"/>
            <a:alpha val="94118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3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Purchase Records</a:t>
          </a:r>
          <a:endParaRPr lang="zh-CN" altLang="en-US" sz="13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528027</xdr:colOff>
      <xdr:row>1</xdr:row>
      <xdr:rowOff>189401</xdr:rowOff>
    </xdr:from>
    <xdr:to>
      <xdr:col>6</xdr:col>
      <xdr:colOff>1013167</xdr:colOff>
      <xdr:row>2</xdr:row>
      <xdr:rowOff>4967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F04FC96-4958-0528-BDEB-FE3E49633F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79" b="20635"/>
        <a:stretch/>
      </xdr:blipFill>
      <xdr:spPr>
        <a:xfrm>
          <a:off x="6688475" y="606416"/>
          <a:ext cx="4787976" cy="1028700"/>
        </a:xfrm>
        <a:prstGeom prst="rect">
          <a:avLst/>
        </a:prstGeom>
      </xdr:spPr>
    </xdr:pic>
    <xdr:clientData/>
  </xdr:twoCellAnchor>
  <xdr:twoCellAnchor>
    <xdr:from>
      <xdr:col>8</xdr:col>
      <xdr:colOff>451899</xdr:colOff>
      <xdr:row>6</xdr:row>
      <xdr:rowOff>81130</xdr:rowOff>
    </xdr:from>
    <xdr:to>
      <xdr:col>10</xdr:col>
      <xdr:colOff>657669</xdr:colOff>
      <xdr:row>8</xdr:row>
      <xdr:rowOff>231205</xdr:rowOff>
    </xdr:to>
    <xdr:sp macro="[0]!Create_a_New_PO" textlink="">
      <xdr:nvSpPr>
        <xdr:cNvPr id="14" name="圆角矩形 13">
          <a:extLst>
            <a:ext uri="{FF2B5EF4-FFF2-40B4-BE49-F238E27FC236}">
              <a16:creationId xmlns:a16="http://schemas.microsoft.com/office/drawing/2014/main" id="{857DCF1D-8B80-581A-449F-191622545286}"/>
            </a:ext>
          </a:extLst>
        </xdr:cNvPr>
        <xdr:cNvSpPr/>
      </xdr:nvSpPr>
      <xdr:spPr>
        <a:xfrm>
          <a:off x="13167200" y="2957757"/>
          <a:ext cx="2103120" cy="731520"/>
        </a:xfrm>
        <a:prstGeom prst="roundRect">
          <a:avLst>
            <a:gd name="adj" fmla="val 50000"/>
          </a:avLst>
        </a:prstGeom>
      </xdr:spPr>
      <xdr:style>
        <a:lnRef idx="2">
          <a:schemeClr val="accent3"/>
        </a:lnRef>
        <a:fillRef idx="1003">
          <a:schemeClr val="lt2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Create</a:t>
          </a:r>
          <a:r>
            <a:rPr lang="en-US" altLang="zh-CN" sz="1400" b="0" baseline="0">
              <a:latin typeface="Arial" panose="020B0604020202020204" pitchFamily="34" charset="0"/>
              <a:cs typeface="Arial" panose="020B0604020202020204" pitchFamily="34" charset="0"/>
            </a:rPr>
            <a:t> a </a:t>
          </a:r>
        </a:p>
        <a:p>
          <a:pPr algn="ctr"/>
          <a:r>
            <a:rPr lang="en-US" altLang="zh-CN" sz="1400" b="0" baseline="0">
              <a:latin typeface="Arial" panose="020B0604020202020204" pitchFamily="34" charset="0"/>
              <a:cs typeface="Arial" panose="020B0604020202020204" pitchFamily="34" charset="0"/>
            </a:rPr>
            <a:t>New</a:t>
          </a:r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 Purchase Order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451899</xdr:colOff>
      <xdr:row>16</xdr:row>
      <xdr:rowOff>40867</xdr:rowOff>
    </xdr:from>
    <xdr:to>
      <xdr:col>10</xdr:col>
      <xdr:colOff>657669</xdr:colOff>
      <xdr:row>18</xdr:row>
      <xdr:rowOff>129736</xdr:rowOff>
    </xdr:to>
    <xdr:sp macro="[0]!_xludf.Search" textlink="">
      <xdr:nvSpPr>
        <xdr:cNvPr id="6" name="圆角矩形 5">
          <a:extLst>
            <a:ext uri="{FF2B5EF4-FFF2-40B4-BE49-F238E27FC236}">
              <a16:creationId xmlns:a16="http://schemas.microsoft.com/office/drawing/2014/main" id="{BA564D65-6292-404E-A578-D5D1D4BA23C9}"/>
            </a:ext>
          </a:extLst>
        </xdr:cNvPr>
        <xdr:cNvSpPr/>
      </xdr:nvSpPr>
      <xdr:spPr>
        <a:xfrm>
          <a:off x="13167200" y="5748216"/>
          <a:ext cx="2103120" cy="731520"/>
        </a:xfrm>
        <a:prstGeom prst="roundRect">
          <a:avLst>
            <a:gd name="adj" fmla="val 50000"/>
          </a:avLst>
        </a:prstGeom>
      </xdr:spPr>
      <xdr:style>
        <a:lnRef idx="2">
          <a:schemeClr val="accent3"/>
        </a:lnRef>
        <a:fillRef idx="1003">
          <a:schemeClr val="lt2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Search Historical Purchase 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92157</xdr:colOff>
      <xdr:row>1</xdr:row>
      <xdr:rowOff>138398</xdr:rowOff>
    </xdr:from>
    <xdr:to>
      <xdr:col>2</xdr:col>
      <xdr:colOff>946433</xdr:colOff>
      <xdr:row>1</xdr:row>
      <xdr:rowOff>994834</xdr:rowOff>
    </xdr:to>
    <xdr:pic>
      <xdr:nvPicPr>
        <xdr:cNvPr id="4" name="图形 3" descr="马提尼酒 纯色填充">
          <a:extLst>
            <a:ext uri="{FF2B5EF4-FFF2-40B4-BE49-F238E27FC236}">
              <a16:creationId xmlns:a16="http://schemas.microsoft.com/office/drawing/2014/main" id="{E5D14F10-1CAC-D246-89A0-5763C9C95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246772" y="553590"/>
          <a:ext cx="854276" cy="856436"/>
        </a:xfrm>
        <a:prstGeom prst="rect">
          <a:avLst/>
        </a:prstGeom>
      </xdr:spPr>
    </xdr:pic>
    <xdr:clientData/>
  </xdr:twoCellAnchor>
  <xdr:twoCellAnchor>
    <xdr:from>
      <xdr:col>1</xdr:col>
      <xdr:colOff>691986</xdr:colOff>
      <xdr:row>30</xdr:row>
      <xdr:rowOff>0</xdr:rowOff>
    </xdr:from>
    <xdr:to>
      <xdr:col>5</xdr:col>
      <xdr:colOff>512884</xdr:colOff>
      <xdr:row>30</xdr:row>
      <xdr:rowOff>252371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81130B72-8F82-504A-9F73-8CE61D5E09A3}"/>
            </a:ext>
          </a:extLst>
        </xdr:cNvPr>
        <xdr:cNvSpPr txBox="1"/>
      </xdr:nvSpPr>
      <xdr:spPr>
        <a:xfrm>
          <a:off x="6073204" y="10013462"/>
          <a:ext cx="4054231" cy="252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altLang="zh-CN" sz="1100"/>
            <a:t>199 Taikang East Road, University of Nottingham, Trent Building</a:t>
          </a:r>
          <a:endParaRPr lang="zh-CN" altLang="en-US" sz="1100"/>
        </a:p>
      </xdr:txBody>
    </xdr:sp>
    <xdr:clientData/>
  </xdr:twoCellAnchor>
  <xdr:twoCellAnchor>
    <xdr:from>
      <xdr:col>8</xdr:col>
      <xdr:colOff>451899</xdr:colOff>
      <xdr:row>3</xdr:row>
      <xdr:rowOff>38447</xdr:rowOff>
    </xdr:from>
    <xdr:to>
      <xdr:col>10</xdr:col>
      <xdr:colOff>657669</xdr:colOff>
      <xdr:row>5</xdr:row>
      <xdr:rowOff>157919</xdr:rowOff>
    </xdr:to>
    <xdr:sp macro="[0]!Gotoregister" textlink="">
      <xdr:nvSpPr>
        <xdr:cNvPr id="12" name="圆角矩形 11">
          <a:extLst>
            <a:ext uri="{FF2B5EF4-FFF2-40B4-BE49-F238E27FC236}">
              <a16:creationId xmlns:a16="http://schemas.microsoft.com/office/drawing/2014/main" id="{8EFCA1BE-A028-B74B-855F-C19249B30364}"/>
            </a:ext>
          </a:extLst>
        </xdr:cNvPr>
        <xdr:cNvSpPr/>
      </xdr:nvSpPr>
      <xdr:spPr>
        <a:xfrm>
          <a:off x="13167200" y="2027604"/>
          <a:ext cx="2103120" cy="731520"/>
        </a:xfrm>
        <a:prstGeom prst="roundRect">
          <a:avLst>
            <a:gd name="adj" fmla="val 50000"/>
          </a:avLst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Go to Register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451899</xdr:colOff>
      <xdr:row>19</xdr:row>
      <xdr:rowOff>7043</xdr:rowOff>
    </xdr:from>
    <xdr:to>
      <xdr:col>10</xdr:col>
      <xdr:colOff>657669</xdr:colOff>
      <xdr:row>21</xdr:row>
      <xdr:rowOff>95912</xdr:rowOff>
    </xdr:to>
    <xdr:sp macro="[0]!Save_as_PDF" textlink="">
      <xdr:nvSpPr>
        <xdr:cNvPr id="22" name="圆角矩形 21">
          <a:extLst>
            <a:ext uri="{FF2B5EF4-FFF2-40B4-BE49-F238E27FC236}">
              <a16:creationId xmlns:a16="http://schemas.microsoft.com/office/drawing/2014/main" id="{56AA0F37-5490-0961-51F1-DED669035F1C}"/>
            </a:ext>
          </a:extLst>
        </xdr:cNvPr>
        <xdr:cNvSpPr/>
      </xdr:nvSpPr>
      <xdr:spPr>
        <a:xfrm>
          <a:off x="13167200" y="6678368"/>
          <a:ext cx="2103120" cy="731520"/>
        </a:xfrm>
        <a:prstGeom prst="roundRect">
          <a:avLst>
            <a:gd name="adj" fmla="val 50000"/>
          </a:avLst>
        </a:prstGeom>
      </xdr:spPr>
      <xdr:style>
        <a:lnRef idx="2">
          <a:schemeClr val="accent3"/>
        </a:lnRef>
        <a:fillRef idx="1003">
          <a:schemeClr val="lt2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Save as PDF Document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451899</xdr:colOff>
      <xdr:row>9</xdr:row>
      <xdr:rowOff>139115</xdr:rowOff>
    </xdr:from>
    <xdr:to>
      <xdr:col>10</xdr:col>
      <xdr:colOff>657669</xdr:colOff>
      <xdr:row>11</xdr:row>
      <xdr:rowOff>212683</xdr:rowOff>
    </xdr:to>
    <xdr:sp macro="[0]!Searchbycompanyname" textlink="">
      <xdr:nvSpPr>
        <xdr:cNvPr id="2" name="圆角矩形 1">
          <a:extLst>
            <a:ext uri="{FF2B5EF4-FFF2-40B4-BE49-F238E27FC236}">
              <a16:creationId xmlns:a16="http://schemas.microsoft.com/office/drawing/2014/main" id="{FFE46FCE-D0DC-7D42-ADC8-F28B349E29C4}"/>
            </a:ext>
          </a:extLst>
        </xdr:cNvPr>
        <xdr:cNvSpPr/>
      </xdr:nvSpPr>
      <xdr:spPr>
        <a:xfrm>
          <a:off x="13167200" y="3887910"/>
          <a:ext cx="2103120" cy="731520"/>
        </a:xfrm>
        <a:prstGeom prst="roundRect">
          <a:avLst>
            <a:gd name="adj" fmla="val 50000"/>
          </a:avLst>
        </a:prstGeom>
      </xdr:spPr>
      <xdr:style>
        <a:lnRef idx="2">
          <a:schemeClr val="accent3"/>
        </a:lnRef>
        <a:fillRef idx="1003">
          <a:schemeClr val="lt2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Imput</a:t>
          </a:r>
          <a:r>
            <a:rPr lang="en-US" altLang="zh-CN" sz="1400" b="0" baseline="0">
              <a:latin typeface="Arial" panose="020B0604020202020204" pitchFamily="34" charset="0"/>
              <a:cs typeface="Arial" panose="020B0604020202020204" pitchFamily="34" charset="0"/>
            </a:rPr>
            <a:t> c</a:t>
          </a:r>
          <a:r>
            <a:rPr lang="en-US" altLang="zh-CN" sz="1400" b="0">
              <a:latin typeface="Arial" panose="020B0604020202020204" pitchFamily="34" charset="0"/>
              <a:cs typeface="Arial" panose="020B0604020202020204" pitchFamily="34" charset="0"/>
            </a:rPr>
            <a:t>ompany name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451899</xdr:colOff>
      <xdr:row>12</xdr:row>
      <xdr:rowOff>135894</xdr:rowOff>
    </xdr:from>
    <xdr:to>
      <xdr:col>10</xdr:col>
      <xdr:colOff>657669</xdr:colOff>
      <xdr:row>15</xdr:row>
      <xdr:rowOff>163559</xdr:rowOff>
    </xdr:to>
    <xdr:sp macro="[0]!_xludf.Save" textlink="">
      <xdr:nvSpPr>
        <xdr:cNvPr id="7" name="圆角矩形 6">
          <a:extLst>
            <a:ext uri="{FF2B5EF4-FFF2-40B4-BE49-F238E27FC236}">
              <a16:creationId xmlns:a16="http://schemas.microsoft.com/office/drawing/2014/main" id="{29FAB599-554F-E149-BDF7-5A6E2423782F}"/>
            </a:ext>
          </a:extLst>
        </xdr:cNvPr>
        <xdr:cNvSpPr/>
      </xdr:nvSpPr>
      <xdr:spPr>
        <a:xfrm>
          <a:off x="13167200" y="4818063"/>
          <a:ext cx="2103120" cy="731520"/>
        </a:xfrm>
        <a:prstGeom prst="roundRect">
          <a:avLst>
            <a:gd name="adj" fmla="val 50000"/>
          </a:avLst>
        </a:prstGeom>
      </xdr:spPr>
      <xdr:style>
        <a:lnRef idx="2">
          <a:schemeClr val="accent3"/>
        </a:lnRef>
        <a:fillRef idx="1003">
          <a:schemeClr val="lt2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" altLang="zh-CN" sz="1400" b="0">
              <a:latin typeface="Arial" panose="020B0604020202020204" pitchFamily="34" charset="0"/>
              <a:cs typeface="Arial" panose="020B0604020202020204" pitchFamily="34" charset="0"/>
            </a:rPr>
            <a:t>Store order information</a:t>
          </a:r>
          <a:endParaRPr lang="zh-CN" altLang="en-US" sz="14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766031</xdr:colOff>
      <xdr:row>27</xdr:row>
      <xdr:rowOff>201586</xdr:rowOff>
    </xdr:from>
    <xdr:to>
      <xdr:col>1</xdr:col>
      <xdr:colOff>108856</xdr:colOff>
      <xdr:row>31</xdr:row>
      <xdr:rowOff>56927</xdr:rowOff>
    </xdr:to>
    <xdr:sp macro="[0]!GotoPO" textlink="">
      <xdr:nvSpPr>
        <xdr:cNvPr id="2" name="圆角矩形 1">
          <a:extLst>
            <a:ext uri="{FF2B5EF4-FFF2-40B4-BE49-F238E27FC236}">
              <a16:creationId xmlns:a16="http://schemas.microsoft.com/office/drawing/2014/main" id="{6C6FE4F6-E3BF-D140-80F4-A39EB58398A5}"/>
            </a:ext>
          </a:extLst>
        </xdr:cNvPr>
        <xdr:cNvSpPr/>
      </xdr:nvSpPr>
      <xdr:spPr>
        <a:xfrm>
          <a:off x="766031" y="11006665"/>
          <a:ext cx="2286000" cy="822960"/>
        </a:xfrm>
        <a:prstGeom prst="roundRect">
          <a:avLst>
            <a:gd name="adj" fmla="val 50000"/>
          </a:avLst>
        </a:prstGeom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Back</a:t>
          </a:r>
          <a:r>
            <a:rPr lang="zh-CN" altLang="en-US" sz="2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altLang="zh-CN" sz="200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to</a:t>
          </a:r>
          <a:r>
            <a:rPr lang="en-US" altLang="zh-CN" sz="2000" baseline="0"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PO</a:t>
          </a:r>
          <a:endParaRPr lang="zh-CN" alt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2</xdr:row>
      <xdr:rowOff>15240</xdr:rowOff>
    </xdr:from>
    <xdr:to>
      <xdr:col>5</xdr:col>
      <xdr:colOff>762000</xdr:colOff>
      <xdr:row>4</xdr:row>
      <xdr:rowOff>203200</xdr:rowOff>
    </xdr:to>
    <xdr:sp macro="[0]!GotoPO" textlink="">
      <xdr:nvSpPr>
        <xdr:cNvPr id="2" name="圆角矩形 1">
          <a:extLst>
            <a:ext uri="{FF2B5EF4-FFF2-40B4-BE49-F238E27FC236}">
              <a16:creationId xmlns:a16="http://schemas.microsoft.com/office/drawing/2014/main" id="{12001849-8CE4-FB4F-92DE-23B6531EB62B}"/>
            </a:ext>
          </a:extLst>
        </xdr:cNvPr>
        <xdr:cNvSpPr/>
      </xdr:nvSpPr>
      <xdr:spPr>
        <a:xfrm>
          <a:off x="6458857" y="771192"/>
          <a:ext cx="2286000" cy="822960"/>
        </a:xfrm>
        <a:prstGeom prst="roundRect">
          <a:avLst>
            <a:gd name="adj" fmla="val 50000"/>
          </a:avLst>
        </a:prstGeom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Back</a:t>
          </a:r>
          <a:r>
            <a:rPr lang="zh-CN" altLang="en-US" sz="2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to</a:t>
          </a:r>
          <a:r>
            <a:rPr lang="en-US" altLang="zh-CN" sz="2000" baseline="0">
              <a:latin typeface="Arial" panose="020B0604020202020204" pitchFamily="34" charset="0"/>
              <a:cs typeface="Arial" panose="020B0604020202020204" pitchFamily="34" charset="0"/>
            </a:rPr>
            <a:t> PO</a:t>
          </a:r>
          <a:endParaRPr lang="zh-CN" alt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450529</xdr:colOff>
      <xdr:row>2</xdr:row>
      <xdr:rowOff>493889</xdr:rowOff>
    </xdr:from>
    <xdr:to>
      <xdr:col>10</xdr:col>
      <xdr:colOff>2736529</xdr:colOff>
      <xdr:row>4</xdr:row>
      <xdr:rowOff>300849</xdr:rowOff>
    </xdr:to>
    <xdr:sp macro="[0]!GotoPO" textlink="">
      <xdr:nvSpPr>
        <xdr:cNvPr id="2" name="圆角矩形 1">
          <a:extLst>
            <a:ext uri="{FF2B5EF4-FFF2-40B4-BE49-F238E27FC236}">
              <a16:creationId xmlns:a16="http://schemas.microsoft.com/office/drawing/2014/main" id="{B9D4DD4D-0E67-3A4B-8498-DA2C99D9CD09}"/>
            </a:ext>
          </a:extLst>
        </xdr:cNvPr>
        <xdr:cNvSpPr/>
      </xdr:nvSpPr>
      <xdr:spPr>
        <a:xfrm>
          <a:off x="18755462" y="1628422"/>
          <a:ext cx="2286000" cy="822960"/>
        </a:xfrm>
        <a:prstGeom prst="roundRect">
          <a:avLst>
            <a:gd name="adj" fmla="val 50000"/>
          </a:avLst>
        </a:prstGeom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Back</a:t>
          </a:r>
          <a:r>
            <a:rPr lang="zh-CN" altLang="en-US" sz="2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to</a:t>
          </a:r>
          <a:r>
            <a:rPr lang="en-US" altLang="zh-CN" sz="2000" baseline="0">
              <a:latin typeface="Arial" panose="020B0604020202020204" pitchFamily="34" charset="0"/>
              <a:cs typeface="Arial" panose="020B0604020202020204" pitchFamily="34" charset="0"/>
            </a:rPr>
            <a:t> PO</a:t>
          </a:r>
          <a:endParaRPr lang="zh-CN" alt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495085</xdr:colOff>
      <xdr:row>2</xdr:row>
      <xdr:rowOff>21525</xdr:rowOff>
    </xdr:from>
    <xdr:to>
      <xdr:col>12</xdr:col>
      <xdr:colOff>868246</xdr:colOff>
      <xdr:row>3</xdr:row>
      <xdr:rowOff>327875</xdr:rowOff>
    </xdr:to>
    <xdr:sp macro="[0]!GotoPO" textlink="">
      <xdr:nvSpPr>
        <xdr:cNvPr id="2" name="圆角矩形 1">
          <a:extLst>
            <a:ext uri="{FF2B5EF4-FFF2-40B4-BE49-F238E27FC236}">
              <a16:creationId xmlns:a16="http://schemas.microsoft.com/office/drawing/2014/main" id="{7458FC24-1DA6-5D46-BA0E-72D460BABBDE}"/>
            </a:ext>
          </a:extLst>
        </xdr:cNvPr>
        <xdr:cNvSpPr/>
      </xdr:nvSpPr>
      <xdr:spPr>
        <a:xfrm>
          <a:off x="17647925" y="1181772"/>
          <a:ext cx="2286000" cy="808078"/>
        </a:xfrm>
        <a:prstGeom prst="roundRect">
          <a:avLst>
            <a:gd name="adj" fmla="val 50000"/>
          </a:avLst>
        </a:prstGeom>
      </xdr:spPr>
      <xdr:style>
        <a:lnRef idx="2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Back</a:t>
          </a:r>
          <a:r>
            <a:rPr lang="zh-CN" altLang="en-US" sz="2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altLang="zh-CN" sz="2000">
              <a:latin typeface="Arial" panose="020B0604020202020204" pitchFamily="34" charset="0"/>
              <a:cs typeface="Arial" panose="020B0604020202020204" pitchFamily="34" charset="0"/>
            </a:rPr>
            <a:t>to</a:t>
          </a:r>
          <a:r>
            <a:rPr lang="en-US" altLang="zh-CN" sz="2000" baseline="0">
              <a:latin typeface="Arial" panose="020B0604020202020204" pitchFamily="34" charset="0"/>
              <a:cs typeface="Arial" panose="020B0604020202020204" pitchFamily="34" charset="0"/>
            </a:rPr>
            <a:t> PO</a:t>
          </a:r>
          <a:endParaRPr lang="zh-CN" altLang="en-US" sz="2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yfan/Desktop/Excel_57/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B0951-298F-4447-86C8-7395E46E8192}" name="表2" displayName="表2" ref="A6:K26" totalsRowShown="0" headerRowDxfId="32" dataDxfId="31" tableBorderDxfId="30">
  <autoFilter ref="A6:K26" xr:uid="{5F0B0951-298F-4447-86C8-7395E46E8192}"/>
  <sortState xmlns:xlrd2="http://schemas.microsoft.com/office/spreadsheetml/2017/richdata2" ref="A7:K26">
    <sortCondition ref="A6:A26"/>
  </sortState>
  <tableColumns count="11">
    <tableColumn id="1" xr3:uid="{A2719C25-C372-7347-8EE9-A136A4E0A334}" name="Company" dataDxfId="29"/>
    <tableColumn id="2" xr3:uid="{591BDDDF-248F-BD48-9880-AAC84C6937F6}" name="Contact" dataDxfId="28"/>
    <tableColumn id="3" xr3:uid="{60F060CA-E7CE-3A4B-B349-7C6E0774A1E1}" name="Title" dataDxfId="27"/>
    <tableColumn id="4" xr3:uid="{BD575A9C-AFB4-7A4A-9C81-16BB8F684D60}" name="Address" dataDxfId="26"/>
    <tableColumn id="5" xr3:uid="{3CB3E5C0-112C-FA4A-BEC9-4263F36B77B8}" name="City" dataDxfId="25"/>
    <tableColumn id="6" xr3:uid="{4C63A63E-F1A4-3144-881E-C1B4DC1713D8}" name="Phone" dataDxfId="24"/>
    <tableColumn id="7" xr3:uid="{4C9C6666-BB0B-7C4F-AEBC-1EBA96FD67B3}" name="Postal code" dataDxfId="23"/>
    <tableColumn id="8" xr3:uid="{98040FE0-6E8D-B642-8A1F-A51783687E80}" name="Fax" dataDxfId="22"/>
    <tableColumn id="9" xr3:uid="{9FDB1A15-75FE-3F45-905D-E875B83DACD8}" name="Discount%" dataDxfId="21"/>
    <tableColumn id="10" xr3:uid="{72B4054E-F994-D14B-BEAD-40B41774974F}" name="Days" dataDxfId="20"/>
    <tableColumn id="11" xr3:uid="{BBE5E52C-82A3-2647-B859-71A4CDF0219E}" name="Net" dataDxfId="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947E7-3047-C643-B744-F610DDCA35C3}" name="表1" displayName="表1" ref="A2:C27" totalsRowShown="0" headerRowDxfId="18">
  <autoFilter ref="A2:C27" xr:uid="{513947E7-3047-C643-B744-F610DDCA35C3}"/>
  <tableColumns count="3">
    <tableColumn id="1" xr3:uid="{B67E0CA5-1917-CD4C-901B-F6239F7045CC}" name="Item" dataDxfId="17"/>
    <tableColumn id="2" xr3:uid="{F4A2BC7E-6B95-164D-95FA-2FE6CDEA1810}" name="Description" dataDxfId="16"/>
    <tableColumn id="3" xr3:uid="{7E28CA12-57E2-5349-8EFA-B132AD79A280}" name="Unit Price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E9D99A-8CE1-B34B-B5ED-04C40EE38563}" name="表3" displayName="表3" ref="A2:J9" totalsRowShown="0" headerRowDxfId="13" dataDxfId="11" headerRowBorderDxfId="12" tableBorderDxfId="10">
  <autoFilter ref="A2:J9" xr:uid="{C6E9D99A-8CE1-B34B-B5ED-04C40EE38563}"/>
  <tableColumns count="10">
    <tableColumn id="1" xr3:uid="{7B2BA2E4-D7B5-6844-835A-E7519AE61B82}" name="PO #" dataDxfId="9"/>
    <tableColumn id="2" xr3:uid="{46D4ADCB-1D1D-F449-BB4A-1AEB79AF2EFF}" name="Date" dataDxfId="8"/>
    <tableColumn id="3" xr3:uid="{7327B3F8-B27F-F841-A507-3A04A569151B}" name="Amount" dataDxfId="7"/>
    <tableColumn id="4" xr3:uid="{402E3371-2BC8-EA41-A9F3-B7006397A70F}" name="Company" dataDxfId="6"/>
    <tableColumn id="5" xr3:uid="{DC6C974B-8D2A-1B4C-BE38-3C4D964B2520}" name="Discount%" dataDxfId="5"/>
    <tableColumn id="6" xr3:uid="{DB64A55A-C591-E848-9473-A54B7DC47153}" name="Discount Days" dataDxfId="4"/>
    <tableColumn id="7" xr3:uid="{6B4F4455-F0C8-384F-A237-12CB4FC0B3B2}" name="Net Days" dataDxfId="3"/>
    <tableColumn id="8" xr3:uid="{EDB32C68-ECEF-5746-B7B8-426E3C2B8941}" name="Cost of Credit" dataDxfId="2">
      <calculatedColumnFormula>IF(表3[[#This Row],[PO '#]]="","",(G3-F3)/360*0.1)</calculatedColumnFormula>
    </tableColumn>
    <tableColumn id="9" xr3:uid="{A0F897AC-8CBC-A342-8C27-837595AEE3F0}" name="Date To Pay" dataDxfId="1">
      <calculatedColumnFormula>IF(表3[[#This Row],[PO '#]]="","",IF(H3&lt;E3,B3+F3,B3+G3))</calculatedColumnFormula>
    </tableColumn>
    <tableColumn id="10" xr3:uid="{3865C4DA-D31F-2C48-9635-F852B49F10B6}" name="Actual required payment" dataDxfId="0">
      <calculatedColumnFormula>IF(表3[[#This Row],[PO '#]]="","",IF(H3&gt;E3,C3,C3*(1-E3)))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DEEC0D-5EB9-E843-B192-6E1A073BBF82}">
  <we:reference id="wa200005502" version="1.0.0.9" store="zh-CN" storeType="OMEX"/>
  <we:alternateReferences>
    <we:reference id="WA200005502" version="1.0.0.9" store="" storeType="OMEX"/>
  </we:alternateReferences>
  <we:properties>
    <we:property name="docId" value="&quot;22b0cc90-376b-4a0c-b9be-4fe448913315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173A-D324-014C-ABC5-33FA554ED755}">
  <sheetPr codeName="Sheet7"/>
  <dimension ref="B2:R73"/>
  <sheetViews>
    <sheetView showGridLines="0" tabSelected="1" topLeftCell="A6" zoomScale="125" zoomScaleNormal="80" workbookViewId="0">
      <selection activeCell="K14" sqref="K14"/>
    </sheetView>
  </sheetViews>
  <sheetFormatPr defaultColWidth="11" defaultRowHeight="15.5"/>
  <cols>
    <col min="1" max="1" width="11" style="32"/>
    <col min="2" max="2" width="11" style="32" customWidth="1"/>
    <col min="3" max="8" width="11" style="32"/>
    <col min="9" max="9" width="11.75" style="32" customWidth="1"/>
    <col min="10" max="16384" width="11" style="32"/>
  </cols>
  <sheetData>
    <row r="2" spans="2:18" ht="16" thickBot="1"/>
    <row r="3" spans="2:18">
      <c r="B3" s="63"/>
      <c r="C3" s="64"/>
      <c r="D3" s="64"/>
      <c r="E3" s="64"/>
      <c r="F3" s="64"/>
      <c r="G3" s="64"/>
      <c r="H3" s="64"/>
      <c r="I3" s="81"/>
      <c r="L3" s="76"/>
      <c r="M3" s="76"/>
      <c r="N3" s="76"/>
      <c r="O3" s="76"/>
      <c r="P3" s="76"/>
      <c r="Q3" s="76"/>
      <c r="R3" s="76"/>
    </row>
    <row r="4" spans="2:18">
      <c r="B4" s="65"/>
      <c r="C4" s="2"/>
      <c r="D4" s="2"/>
      <c r="E4" s="2"/>
      <c r="F4" s="2"/>
      <c r="G4" s="2"/>
      <c r="H4" s="2"/>
      <c r="I4" s="82"/>
      <c r="K4" s="2"/>
      <c r="L4" s="77"/>
      <c r="M4" s="77"/>
      <c r="N4" s="77"/>
      <c r="O4" s="77"/>
      <c r="P4" s="77"/>
      <c r="Q4" s="77"/>
      <c r="R4" s="77"/>
    </row>
    <row r="5" spans="2:18">
      <c r="B5" s="65"/>
      <c r="C5" s="2"/>
      <c r="D5" s="2"/>
      <c r="E5" s="2"/>
      <c r="F5" s="2"/>
      <c r="G5" s="2"/>
      <c r="H5" s="2"/>
      <c r="I5" s="82"/>
      <c r="K5" s="2"/>
      <c r="L5" s="77"/>
      <c r="M5" s="77"/>
      <c r="N5" s="77"/>
      <c r="O5" s="77"/>
      <c r="P5" s="77"/>
      <c r="Q5" s="77"/>
      <c r="R5" s="77"/>
    </row>
    <row r="6" spans="2:18">
      <c r="B6" s="65"/>
      <c r="C6" s="2"/>
      <c r="D6" s="2"/>
      <c r="E6" s="2"/>
      <c r="F6" s="2"/>
      <c r="G6" s="2"/>
      <c r="H6" s="2"/>
      <c r="I6" s="82"/>
      <c r="K6" s="2"/>
      <c r="L6" s="77"/>
      <c r="M6" s="77"/>
      <c r="N6" s="77"/>
      <c r="O6" s="77"/>
      <c r="P6" s="77"/>
      <c r="Q6" s="77"/>
      <c r="R6" s="77"/>
    </row>
    <row r="7" spans="2:18">
      <c r="B7" s="65"/>
      <c r="C7" s="2"/>
      <c r="D7" s="2"/>
      <c r="E7" s="2"/>
      <c r="F7" s="2"/>
      <c r="G7" s="2"/>
      <c r="H7" s="2"/>
      <c r="I7" s="82"/>
      <c r="K7" s="2"/>
      <c r="L7" s="77"/>
      <c r="M7" s="77"/>
      <c r="N7" s="77"/>
      <c r="O7" s="77"/>
      <c r="P7" s="77"/>
      <c r="Q7" s="77"/>
      <c r="R7" s="77"/>
    </row>
    <row r="8" spans="2:18">
      <c r="B8" s="65"/>
      <c r="C8" s="2"/>
      <c r="D8" s="2"/>
      <c r="E8" s="2"/>
      <c r="F8" s="2"/>
      <c r="G8" s="2"/>
      <c r="H8" s="2"/>
      <c r="I8" s="82"/>
      <c r="K8" s="2"/>
      <c r="L8" s="77"/>
      <c r="M8" s="77"/>
      <c r="N8" s="77"/>
      <c r="O8" s="77"/>
      <c r="P8" s="77"/>
      <c r="Q8" s="77"/>
      <c r="R8" s="77"/>
    </row>
    <row r="9" spans="2:18" ht="27" customHeight="1">
      <c r="B9" s="65"/>
      <c r="C9" s="2"/>
      <c r="D9" s="2"/>
      <c r="E9" s="2"/>
      <c r="F9" s="2"/>
      <c r="G9" s="2"/>
      <c r="H9" s="2"/>
      <c r="I9" s="82"/>
      <c r="K9" s="2"/>
      <c r="L9" s="77"/>
      <c r="M9" s="77"/>
      <c r="N9" s="77"/>
      <c r="O9" s="77"/>
      <c r="P9" s="77"/>
      <c r="Q9" s="77"/>
      <c r="R9" s="77"/>
    </row>
    <row r="10" spans="2:18">
      <c r="B10" s="65"/>
      <c r="C10" s="2"/>
      <c r="D10" s="2"/>
      <c r="E10" s="2"/>
      <c r="F10" s="2"/>
      <c r="G10" s="2"/>
      <c r="H10" s="2"/>
      <c r="I10" s="82"/>
      <c r="K10" s="2"/>
      <c r="L10" s="77"/>
      <c r="M10" s="77"/>
      <c r="N10" s="77"/>
      <c r="O10" s="77"/>
      <c r="P10" s="77"/>
      <c r="Q10" s="77"/>
      <c r="R10" s="77"/>
    </row>
    <row r="11" spans="2:18">
      <c r="B11" s="65"/>
      <c r="C11" s="2"/>
      <c r="D11" s="2"/>
      <c r="E11" s="2"/>
      <c r="F11" s="2"/>
      <c r="G11" s="2"/>
      <c r="H11" s="2"/>
      <c r="I11" s="82"/>
      <c r="K11" s="2"/>
      <c r="L11" s="77"/>
      <c r="M11" s="77"/>
      <c r="N11" s="77"/>
      <c r="O11" s="77"/>
      <c r="P11" s="77"/>
      <c r="Q11" s="77"/>
      <c r="R11" s="77"/>
    </row>
    <row r="12" spans="2:18">
      <c r="B12" s="65"/>
      <c r="C12" s="2"/>
      <c r="D12" s="2"/>
      <c r="E12" s="2"/>
      <c r="F12" s="2"/>
      <c r="G12" s="2"/>
      <c r="H12" s="2"/>
      <c r="I12" s="82"/>
      <c r="K12" s="2"/>
      <c r="L12" s="77"/>
      <c r="M12" s="77"/>
      <c r="N12" s="77"/>
      <c r="O12" s="77"/>
      <c r="P12" s="77"/>
      <c r="Q12" s="77"/>
      <c r="R12" s="77"/>
    </row>
    <row r="13" spans="2:18">
      <c r="B13" s="65"/>
      <c r="C13" s="2"/>
      <c r="D13" s="2"/>
      <c r="E13" s="2"/>
      <c r="F13" s="2"/>
      <c r="G13" s="2"/>
      <c r="H13" s="2"/>
      <c r="I13" s="82"/>
      <c r="K13" s="2"/>
      <c r="L13" s="77"/>
      <c r="M13" s="77"/>
      <c r="N13" s="77"/>
      <c r="O13" s="77"/>
      <c r="P13" s="77"/>
      <c r="Q13" s="77"/>
      <c r="R13" s="77"/>
    </row>
    <row r="14" spans="2:18" ht="23" customHeight="1">
      <c r="B14" s="65"/>
      <c r="C14" s="2"/>
      <c r="D14" s="2"/>
      <c r="E14" s="2"/>
      <c r="F14" s="2"/>
      <c r="G14" s="2"/>
      <c r="H14" s="2"/>
      <c r="I14" s="82"/>
      <c r="K14" s="2"/>
      <c r="L14" s="77"/>
      <c r="M14" s="77"/>
      <c r="N14" s="77"/>
      <c r="O14" s="77"/>
      <c r="P14" s="77"/>
      <c r="Q14" s="77"/>
      <c r="R14" s="77"/>
    </row>
    <row r="15" spans="2:18" ht="48" customHeight="1">
      <c r="B15" s="65" t="s">
        <v>235</v>
      </c>
      <c r="C15" s="2"/>
      <c r="D15" s="2"/>
      <c r="E15" s="2"/>
      <c r="F15" s="2"/>
      <c r="G15" s="2"/>
      <c r="H15" s="83"/>
      <c r="I15" s="84"/>
      <c r="K15" s="2"/>
      <c r="L15" s="77"/>
      <c r="M15" s="77"/>
      <c r="N15" s="77"/>
      <c r="O15" s="77"/>
      <c r="P15" s="77"/>
      <c r="Q15" s="77"/>
      <c r="R15" s="77"/>
    </row>
    <row r="16" spans="2:18" ht="22.5" customHeight="1">
      <c r="B16" s="65" t="s">
        <v>236</v>
      </c>
      <c r="C16" s="2"/>
      <c r="D16" s="2"/>
      <c r="E16" s="2"/>
      <c r="F16" s="2"/>
      <c r="G16" s="2"/>
      <c r="H16" s="85"/>
      <c r="I16" s="84"/>
      <c r="K16" s="2"/>
      <c r="L16" s="77"/>
      <c r="M16" s="77"/>
      <c r="N16" s="77"/>
      <c r="O16" s="77"/>
      <c r="P16" s="77"/>
      <c r="Q16" s="77"/>
      <c r="R16" s="77"/>
    </row>
    <row r="17" spans="2:18" ht="10" customHeight="1" thickBot="1">
      <c r="B17" s="66"/>
      <c r="C17" s="8"/>
      <c r="D17" s="8"/>
      <c r="E17" s="8"/>
      <c r="F17" s="8"/>
      <c r="G17" s="8"/>
      <c r="H17" s="86"/>
      <c r="I17" s="87"/>
      <c r="K17" s="2"/>
      <c r="L17" s="77"/>
      <c r="M17" s="77"/>
      <c r="N17" s="77"/>
      <c r="O17" s="77"/>
      <c r="P17" s="77"/>
      <c r="Q17" s="77"/>
      <c r="R17" s="77"/>
    </row>
    <row r="18" spans="2:18">
      <c r="K18" s="2"/>
      <c r="L18" s="77"/>
      <c r="M18" s="77"/>
      <c r="N18" s="77"/>
      <c r="O18" s="77"/>
      <c r="P18" s="77"/>
      <c r="Q18" s="77"/>
      <c r="R18" s="77"/>
    </row>
    <row r="19" spans="2:18" ht="20" customHeight="1">
      <c r="B19" s="78" t="s">
        <v>228</v>
      </c>
      <c r="K19" s="2"/>
      <c r="L19" s="2"/>
      <c r="M19" s="2"/>
      <c r="N19" s="2"/>
      <c r="O19" s="2"/>
      <c r="P19" s="2"/>
      <c r="Q19" s="2"/>
      <c r="R19" s="2"/>
    </row>
    <row r="20" spans="2:18" ht="20" customHeight="1">
      <c r="B20" s="79"/>
      <c r="C20" s="79"/>
      <c r="D20" s="79"/>
      <c r="E20" s="79"/>
      <c r="F20" s="79"/>
      <c r="G20" s="79"/>
      <c r="H20" s="79"/>
      <c r="I20" s="79"/>
      <c r="J20" s="79"/>
      <c r="K20" s="2"/>
      <c r="L20" s="2"/>
      <c r="M20" s="2"/>
      <c r="N20" s="2"/>
      <c r="O20" s="2"/>
      <c r="P20" s="2"/>
      <c r="Q20" s="2"/>
      <c r="R20" s="2"/>
    </row>
    <row r="21" spans="2:18" ht="20" customHeight="1">
      <c r="B21" s="79"/>
      <c r="C21" s="79"/>
      <c r="D21" s="79"/>
      <c r="E21" s="79"/>
      <c r="F21" s="79"/>
      <c r="G21" s="79"/>
      <c r="H21" s="79"/>
      <c r="I21" s="79"/>
      <c r="J21" s="79"/>
    </row>
    <row r="22" spans="2:18" ht="20" customHeight="1">
      <c r="B22" s="79"/>
      <c r="C22" s="79"/>
      <c r="D22" s="79"/>
      <c r="E22" s="79"/>
      <c r="F22" s="79"/>
      <c r="G22" s="79"/>
      <c r="H22" s="79"/>
      <c r="I22" s="79"/>
      <c r="J22" s="79"/>
    </row>
    <row r="23" spans="2:18" ht="20" customHeight="1">
      <c r="B23" s="79"/>
      <c r="C23" s="79"/>
      <c r="D23" s="79"/>
      <c r="E23" s="79"/>
      <c r="F23" s="79"/>
      <c r="G23" s="79"/>
      <c r="H23" s="79"/>
      <c r="I23" s="79"/>
      <c r="J23" s="79"/>
    </row>
    <row r="24" spans="2:18" ht="20" customHeight="1">
      <c r="B24" s="88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</row>
    <row r="25" spans="2:18" ht="20" customHeight="1"/>
    <row r="26" spans="2:18" ht="20" customHeight="1">
      <c r="B26" s="80"/>
      <c r="C26" s="71"/>
      <c r="D26" s="71"/>
      <c r="E26" s="71"/>
      <c r="F26" s="71"/>
      <c r="G26" s="71"/>
      <c r="H26" s="71"/>
      <c r="I26" s="71"/>
      <c r="J26" s="71"/>
    </row>
    <row r="27" spans="2:18" ht="20" customHeight="1">
      <c r="B27" s="71"/>
      <c r="C27" s="71"/>
      <c r="D27" s="71"/>
      <c r="E27" s="71"/>
      <c r="F27" s="71"/>
      <c r="G27" s="71"/>
      <c r="H27" s="71"/>
      <c r="I27" s="71"/>
      <c r="J27" s="71"/>
    </row>
    <row r="28" spans="2:18" ht="20" customHeight="1">
      <c r="B28" s="71"/>
      <c r="C28" s="71"/>
      <c r="D28" s="71"/>
      <c r="E28" s="71"/>
      <c r="F28" s="71"/>
      <c r="G28" s="71"/>
      <c r="H28" s="71"/>
      <c r="I28" s="71"/>
      <c r="J28" s="71"/>
    </row>
    <row r="29" spans="2:18" ht="20" customHeight="1">
      <c r="B29" s="71"/>
      <c r="C29" s="71"/>
      <c r="D29" s="71"/>
      <c r="E29" s="71"/>
      <c r="F29" s="71"/>
      <c r="G29" s="71"/>
      <c r="H29" s="71"/>
      <c r="I29" s="71"/>
      <c r="J29" s="71"/>
    </row>
    <row r="30" spans="2:18" ht="20" customHeight="1">
      <c r="B30" s="71"/>
      <c r="C30" s="71"/>
      <c r="D30" s="71"/>
      <c r="E30" s="71"/>
      <c r="F30" s="71"/>
      <c r="G30" s="71"/>
      <c r="H30" s="71"/>
      <c r="I30" s="71"/>
      <c r="J30" s="71"/>
    </row>
    <row r="31" spans="2:18" ht="20" customHeight="1">
      <c r="B31" s="71"/>
      <c r="C31" s="71"/>
      <c r="D31" s="71"/>
      <c r="E31" s="71"/>
      <c r="F31" s="71"/>
      <c r="G31" s="71"/>
      <c r="H31" s="71"/>
      <c r="I31" s="71"/>
      <c r="J31" s="71"/>
    </row>
    <row r="32" spans="2:18" ht="20" customHeight="1">
      <c r="B32" s="71"/>
      <c r="C32" s="71"/>
      <c r="D32" s="71"/>
      <c r="E32" s="71"/>
      <c r="F32" s="71"/>
      <c r="G32" s="71"/>
      <c r="H32" s="71"/>
      <c r="I32" s="71"/>
      <c r="J32" s="71"/>
    </row>
    <row r="33" spans="2:10" ht="20" customHeight="1">
      <c r="B33" s="71"/>
      <c r="C33" s="71"/>
      <c r="D33" s="71"/>
      <c r="E33" s="71"/>
      <c r="F33" s="71"/>
      <c r="G33" s="71"/>
      <c r="H33" s="71"/>
      <c r="I33" s="71"/>
      <c r="J33" s="71"/>
    </row>
    <row r="34" spans="2:10" ht="20" customHeight="1">
      <c r="B34" s="71"/>
      <c r="C34" s="71"/>
      <c r="D34" s="71"/>
      <c r="E34" s="71"/>
      <c r="F34" s="71"/>
      <c r="G34" s="71"/>
      <c r="H34" s="71"/>
      <c r="I34" s="71"/>
      <c r="J34" s="71"/>
    </row>
    <row r="35" spans="2:10" ht="20" customHeight="1">
      <c r="B35" s="71"/>
      <c r="C35" s="71"/>
      <c r="D35" s="71"/>
      <c r="E35" s="71"/>
      <c r="F35" s="71"/>
      <c r="G35" s="71"/>
      <c r="H35" s="71"/>
      <c r="I35" s="71"/>
      <c r="J35" s="71"/>
    </row>
    <row r="36" spans="2:10" ht="20" customHeight="1">
      <c r="B36" s="71"/>
      <c r="C36" s="71"/>
      <c r="D36" s="71"/>
      <c r="E36" s="71"/>
      <c r="F36" s="71"/>
      <c r="G36" s="71"/>
      <c r="H36" s="71"/>
      <c r="I36" s="71"/>
      <c r="J36" s="71"/>
    </row>
    <row r="37" spans="2:10" ht="20" customHeight="1">
      <c r="B37" s="71"/>
      <c r="C37" s="71"/>
      <c r="D37" s="71"/>
      <c r="E37" s="71"/>
      <c r="F37" s="71"/>
      <c r="G37" s="71"/>
      <c r="H37" s="71"/>
      <c r="I37" s="71"/>
      <c r="J37" s="71"/>
    </row>
    <row r="38" spans="2:10" ht="20" customHeight="1">
      <c r="B38" s="71"/>
      <c r="C38" s="71"/>
      <c r="D38" s="71"/>
      <c r="E38" s="71"/>
      <c r="F38" s="71"/>
      <c r="G38" s="71"/>
      <c r="H38" s="71"/>
      <c r="I38" s="71"/>
      <c r="J38" s="71"/>
    </row>
    <row r="39" spans="2:10" ht="20" customHeight="1">
      <c r="B39" s="71"/>
      <c r="C39" s="71"/>
      <c r="D39" s="71"/>
      <c r="E39" s="71"/>
      <c r="F39" s="71"/>
      <c r="G39" s="71"/>
      <c r="H39" s="71"/>
      <c r="I39" s="71"/>
      <c r="J39" s="71"/>
    </row>
    <row r="40" spans="2:10" ht="20" customHeight="1">
      <c r="B40" s="71"/>
      <c r="C40" s="71"/>
      <c r="D40" s="71"/>
      <c r="E40" s="71"/>
      <c r="F40" s="71"/>
      <c r="G40" s="71"/>
      <c r="H40" s="71"/>
      <c r="I40" s="71"/>
      <c r="J40" s="71"/>
    </row>
    <row r="41" spans="2:10" ht="20" customHeight="1">
      <c r="B41" s="71"/>
      <c r="C41" s="71"/>
      <c r="D41" s="71"/>
      <c r="E41" s="71"/>
      <c r="F41" s="71"/>
      <c r="G41" s="71"/>
      <c r="H41" s="71"/>
      <c r="I41" s="71"/>
      <c r="J41" s="71"/>
    </row>
    <row r="42" spans="2:10" ht="20" customHeight="1">
      <c r="B42" s="71"/>
      <c r="C42" s="71"/>
      <c r="D42" s="71"/>
      <c r="E42" s="71"/>
      <c r="F42" s="71"/>
      <c r="G42" s="71"/>
      <c r="H42" s="71"/>
      <c r="I42" s="71"/>
      <c r="J42" s="71"/>
    </row>
    <row r="43" spans="2:10" ht="20" customHeight="1">
      <c r="B43" s="71"/>
      <c r="C43" s="71"/>
      <c r="D43" s="71"/>
      <c r="E43" s="71"/>
      <c r="F43" s="71"/>
      <c r="G43" s="71"/>
      <c r="H43" s="71"/>
      <c r="I43" s="71"/>
      <c r="J43" s="71"/>
    </row>
    <row r="44" spans="2:10" ht="20" customHeight="1">
      <c r="B44" s="71"/>
      <c r="C44" s="71"/>
      <c r="D44" s="71"/>
      <c r="E44" s="71"/>
      <c r="F44" s="71"/>
      <c r="G44" s="71"/>
      <c r="H44" s="71"/>
      <c r="I44" s="71"/>
      <c r="J44" s="71"/>
    </row>
    <row r="45" spans="2:10" ht="20" customHeight="1">
      <c r="B45" s="71"/>
      <c r="C45" s="71"/>
      <c r="D45" s="71"/>
      <c r="E45" s="71"/>
      <c r="F45" s="71"/>
      <c r="G45" s="71"/>
      <c r="H45" s="71"/>
      <c r="I45" s="71"/>
      <c r="J45" s="71"/>
    </row>
    <row r="46" spans="2:10" ht="20" customHeight="1">
      <c r="B46" s="71"/>
      <c r="C46" s="71"/>
      <c r="D46" s="71"/>
      <c r="E46" s="71"/>
      <c r="F46" s="71"/>
      <c r="G46" s="71"/>
      <c r="H46" s="71"/>
      <c r="I46" s="71"/>
      <c r="J46" s="71"/>
    </row>
    <row r="47" spans="2:10" ht="20" customHeight="1">
      <c r="B47" s="71"/>
      <c r="C47" s="71"/>
      <c r="D47" s="71"/>
      <c r="E47" s="71"/>
      <c r="F47" s="71"/>
      <c r="G47" s="71"/>
      <c r="H47" s="71"/>
      <c r="I47" s="71"/>
      <c r="J47" s="71"/>
    </row>
    <row r="48" spans="2:10" ht="20" customHeight="1">
      <c r="B48" s="71"/>
      <c r="C48" s="71"/>
      <c r="D48" s="71"/>
      <c r="E48" s="71"/>
      <c r="F48" s="71"/>
      <c r="G48" s="71"/>
      <c r="H48" s="71"/>
      <c r="I48" s="71"/>
      <c r="J48" s="71"/>
    </row>
    <row r="49" spans="2:10" ht="20" customHeight="1">
      <c r="B49" s="71"/>
      <c r="C49" s="71"/>
      <c r="D49" s="71"/>
      <c r="E49" s="71"/>
      <c r="F49" s="71"/>
      <c r="G49" s="71"/>
      <c r="H49" s="71"/>
      <c r="I49" s="71"/>
      <c r="J49" s="71"/>
    </row>
    <row r="50" spans="2:10" ht="20" customHeight="1">
      <c r="B50" s="71"/>
      <c r="C50" s="71"/>
      <c r="D50" s="71"/>
      <c r="E50" s="71"/>
      <c r="F50" s="71"/>
      <c r="G50" s="71"/>
      <c r="H50" s="71"/>
      <c r="I50" s="71"/>
      <c r="J50" s="71"/>
    </row>
    <row r="51" spans="2:10" ht="20" customHeight="1">
      <c r="B51" s="80"/>
      <c r="C51" s="80"/>
      <c r="D51" s="80"/>
      <c r="E51" s="80"/>
      <c r="F51" s="80"/>
      <c r="G51" s="80"/>
      <c r="H51" s="80"/>
      <c r="I51" s="80"/>
      <c r="J51" s="80"/>
    </row>
    <row r="52" spans="2:10" ht="20" customHeight="1">
      <c r="B52" s="80"/>
      <c r="C52" s="80"/>
      <c r="D52" s="80"/>
      <c r="E52" s="80"/>
      <c r="F52" s="80"/>
      <c r="G52" s="80"/>
      <c r="H52" s="80"/>
      <c r="I52" s="80"/>
      <c r="J52" s="80"/>
    </row>
    <row r="53" spans="2:10" ht="20" customHeight="1">
      <c r="B53" s="80"/>
      <c r="C53" s="80"/>
      <c r="D53" s="80"/>
      <c r="E53" s="80"/>
      <c r="F53" s="80"/>
      <c r="G53" s="80"/>
      <c r="H53" s="80"/>
      <c r="I53" s="80"/>
      <c r="J53" s="80"/>
    </row>
    <row r="54" spans="2:10" ht="20" customHeight="1">
      <c r="B54" s="80"/>
      <c r="C54" s="80"/>
      <c r="D54" s="80"/>
      <c r="E54" s="80"/>
      <c r="F54" s="80"/>
      <c r="G54" s="80"/>
      <c r="H54" s="80"/>
      <c r="I54" s="80"/>
      <c r="J54" s="80"/>
    </row>
    <row r="55" spans="2:10" ht="20" customHeight="1">
      <c r="B55" s="80"/>
      <c r="C55" s="80"/>
      <c r="D55" s="80"/>
      <c r="E55" s="80"/>
      <c r="F55" s="80"/>
      <c r="G55" s="80"/>
      <c r="H55" s="80"/>
      <c r="I55" s="80"/>
      <c r="J55" s="80"/>
    </row>
    <row r="56" spans="2:10" ht="20" customHeight="1">
      <c r="B56" s="80"/>
      <c r="C56" s="80"/>
      <c r="D56" s="80"/>
      <c r="E56" s="80"/>
      <c r="F56" s="80"/>
      <c r="G56" s="80"/>
      <c r="H56" s="80"/>
      <c r="I56" s="80"/>
      <c r="J56" s="80"/>
    </row>
    <row r="57" spans="2:10" ht="20" customHeight="1">
      <c r="B57" s="80"/>
      <c r="C57" s="80"/>
      <c r="D57" s="80"/>
      <c r="E57" s="80"/>
      <c r="F57" s="80"/>
      <c r="G57" s="80"/>
      <c r="H57" s="80"/>
      <c r="I57" s="80"/>
      <c r="J57" s="80"/>
    </row>
    <row r="58" spans="2:10" ht="20" customHeight="1">
      <c r="B58" s="80"/>
      <c r="C58" s="80"/>
      <c r="D58" s="80"/>
      <c r="E58" s="80"/>
      <c r="F58" s="80"/>
      <c r="G58" s="80"/>
      <c r="H58" s="80"/>
      <c r="I58" s="80"/>
      <c r="J58" s="80"/>
    </row>
    <row r="59" spans="2:10" ht="20" customHeight="1">
      <c r="B59" s="80"/>
      <c r="C59" s="80"/>
      <c r="D59" s="80"/>
      <c r="E59" s="80"/>
      <c r="F59" s="80"/>
      <c r="G59" s="80"/>
      <c r="H59" s="80"/>
      <c r="I59" s="80"/>
      <c r="J59" s="80"/>
    </row>
    <row r="60" spans="2:10" ht="20" customHeight="1">
      <c r="B60" s="80"/>
      <c r="C60" s="80"/>
      <c r="D60" s="80"/>
      <c r="E60" s="80"/>
      <c r="F60" s="80"/>
      <c r="G60" s="80"/>
      <c r="H60" s="80"/>
      <c r="I60" s="80"/>
      <c r="J60" s="80"/>
    </row>
    <row r="61" spans="2:10" ht="20" customHeight="1">
      <c r="B61" s="80"/>
      <c r="C61" s="80"/>
      <c r="D61" s="80"/>
      <c r="E61" s="80"/>
      <c r="F61" s="80"/>
      <c r="G61" s="80"/>
      <c r="H61" s="80"/>
      <c r="I61" s="80"/>
      <c r="J61" s="80"/>
    </row>
    <row r="62" spans="2:10" ht="20" customHeight="1">
      <c r="B62" s="80"/>
      <c r="C62" s="80"/>
      <c r="D62" s="80"/>
      <c r="E62" s="80"/>
      <c r="F62" s="80"/>
      <c r="G62" s="80"/>
      <c r="H62" s="80"/>
      <c r="I62" s="80"/>
      <c r="J62" s="80"/>
    </row>
    <row r="63" spans="2:10" ht="20" customHeight="1">
      <c r="B63" s="80"/>
      <c r="C63" s="80"/>
      <c r="D63" s="80"/>
      <c r="E63" s="80"/>
      <c r="F63" s="80"/>
      <c r="G63" s="80"/>
      <c r="H63" s="80"/>
      <c r="I63" s="80"/>
      <c r="J63" s="80"/>
    </row>
    <row r="64" spans="2:10" ht="20" customHeight="1">
      <c r="B64" s="80"/>
      <c r="C64" s="80"/>
      <c r="D64" s="80"/>
      <c r="E64" s="80"/>
      <c r="F64" s="80"/>
      <c r="G64" s="80"/>
      <c r="H64" s="80"/>
      <c r="I64" s="80"/>
      <c r="J64" s="80"/>
    </row>
    <row r="65" spans="2:10" ht="20" customHeight="1">
      <c r="B65" s="80"/>
      <c r="C65" s="80"/>
      <c r="D65" s="80"/>
      <c r="E65" s="80"/>
      <c r="F65" s="80"/>
      <c r="G65" s="80"/>
      <c r="H65" s="80"/>
      <c r="I65" s="80"/>
      <c r="J65" s="80"/>
    </row>
    <row r="66" spans="2:10" ht="18.5" customHeight="1">
      <c r="B66" s="80"/>
      <c r="C66" s="80"/>
      <c r="D66" s="80"/>
      <c r="E66" s="80"/>
      <c r="F66" s="80"/>
      <c r="G66" s="80"/>
      <c r="H66" s="80"/>
      <c r="I66" s="80"/>
      <c r="J66" s="80"/>
    </row>
    <row r="67" spans="2:10" ht="15.5" customHeight="1">
      <c r="B67" s="80"/>
      <c r="C67" s="80"/>
      <c r="D67" s="80"/>
      <c r="E67" s="80"/>
      <c r="F67" s="80"/>
      <c r="G67" s="80"/>
      <c r="H67" s="80"/>
      <c r="I67" s="80"/>
      <c r="J67" s="80"/>
    </row>
    <row r="68" spans="2:10" ht="15.5" customHeight="1">
      <c r="B68" s="80"/>
      <c r="C68" s="80"/>
      <c r="D68" s="80"/>
      <c r="E68" s="80"/>
      <c r="F68" s="80"/>
      <c r="G68" s="80"/>
      <c r="H68" s="80"/>
      <c r="I68" s="80"/>
      <c r="J68" s="80"/>
    </row>
    <row r="69" spans="2:10" ht="15.5" customHeight="1">
      <c r="B69" s="80"/>
      <c r="C69" s="80"/>
      <c r="D69" s="80"/>
      <c r="E69" s="80"/>
      <c r="F69" s="80"/>
      <c r="G69" s="80"/>
      <c r="H69" s="80"/>
      <c r="I69" s="80"/>
      <c r="J69" s="80"/>
    </row>
    <row r="70" spans="2:10" ht="15.5" customHeight="1">
      <c r="B70" s="80"/>
      <c r="C70" s="80"/>
      <c r="D70" s="80"/>
      <c r="E70" s="80"/>
      <c r="F70" s="80"/>
      <c r="G70" s="80"/>
      <c r="H70" s="80"/>
      <c r="I70" s="80"/>
      <c r="J70" s="80"/>
    </row>
    <row r="71" spans="2:10" ht="15.5" customHeight="1">
      <c r="B71" s="80"/>
      <c r="C71" s="80"/>
      <c r="D71" s="80"/>
      <c r="E71" s="80"/>
      <c r="F71" s="80"/>
      <c r="G71" s="80"/>
      <c r="H71" s="80"/>
      <c r="I71" s="80"/>
      <c r="J71" s="80"/>
    </row>
    <row r="72" spans="2:10" ht="15.5" customHeight="1">
      <c r="B72" s="80"/>
      <c r="C72" s="80"/>
      <c r="D72" s="80"/>
      <c r="E72" s="80"/>
      <c r="F72" s="80"/>
      <c r="G72" s="80"/>
      <c r="H72" s="80"/>
      <c r="I72" s="80"/>
      <c r="J72" s="80"/>
    </row>
    <row r="73" spans="2:10" ht="15.5" customHeight="1">
      <c r="B73" s="80"/>
      <c r="C73" s="80"/>
      <c r="D73" s="80"/>
      <c r="E73" s="80"/>
      <c r="F73" s="80"/>
      <c r="G73" s="80"/>
      <c r="H73" s="80"/>
      <c r="I73" s="80"/>
      <c r="J73" s="80"/>
    </row>
  </sheetData>
  <mergeCells count="2">
    <mergeCell ref="H15:I17"/>
    <mergeCell ref="B24:P2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8322C-7F69-1945-A14D-4F3A73535640}">
  <sheetPr codeName="Sheet5"/>
  <dimension ref="B1:P31"/>
  <sheetViews>
    <sheetView zoomScale="76" zoomScaleNormal="110" workbookViewId="0">
      <selection activeCell="D17" sqref="D17"/>
    </sheetView>
  </sheetViews>
  <sheetFormatPr defaultColWidth="10.75" defaultRowHeight="15.5"/>
  <cols>
    <col min="1" max="1" width="60.75" style="1" customWidth="1"/>
    <col min="2" max="2" width="8.75" style="1" customWidth="1"/>
    <col min="3" max="3" width="12.58203125" style="1" customWidth="1"/>
    <col min="4" max="4" width="15.4140625" style="1" customWidth="1"/>
    <col min="5" max="5" width="11" style="1" customWidth="1"/>
    <col min="6" max="6" width="9.4140625" style="1" customWidth="1"/>
    <col min="7" max="7" width="16.25" style="1" customWidth="1"/>
    <col min="8" max="8" width="8.75" style="1" customWidth="1"/>
    <col min="9" max="13" width="10.75" style="1"/>
    <col min="14" max="14" width="14.58203125" style="1" hidden="1" customWidth="1"/>
    <col min="15" max="15" width="12.1640625" style="1" hidden="1" customWidth="1"/>
    <col min="16" max="16" width="23.83203125" style="1" hidden="1" customWidth="1"/>
    <col min="17" max="16384" width="10.75" style="1"/>
  </cols>
  <sheetData>
    <row r="1" spans="2:16" ht="33" customHeight="1">
      <c r="N1" s="55" t="s">
        <v>229</v>
      </c>
      <c r="O1" s="56" t="s">
        <v>230</v>
      </c>
      <c r="P1" s="57" t="s">
        <v>231</v>
      </c>
    </row>
    <row r="2" spans="2:16" ht="96" customHeight="1">
      <c r="B2" s="2"/>
      <c r="C2" s="2"/>
      <c r="D2" s="2"/>
      <c r="E2" s="2"/>
      <c r="F2" s="2"/>
      <c r="G2" s="2"/>
      <c r="H2" s="51"/>
      <c r="N2" s="58" t="e">
        <f>(G14-D14)/360*10%</f>
        <v>#VALUE!</v>
      </c>
      <c r="O2" s="59" t="e">
        <f>IF(N2&lt;D13,G4+D14,G4+G14)</f>
        <v>#VALUE!</v>
      </c>
      <c r="P2" s="60" t="e">
        <f>IF(N2&lt;D13,G26*(1-D13),G26)</f>
        <v>#VALUE!</v>
      </c>
    </row>
    <row r="3" spans="2:16" ht="28" customHeight="1">
      <c r="B3" s="2"/>
      <c r="C3" s="97" t="s">
        <v>166</v>
      </c>
      <c r="D3" s="97"/>
      <c r="E3" s="2"/>
      <c r="F3" s="4" t="s">
        <v>190</v>
      </c>
      <c r="G3" s="49">
        <v>8</v>
      </c>
      <c r="H3" s="2"/>
    </row>
    <row r="4" spans="2:16" ht="28" customHeight="1">
      <c r="B4" s="2"/>
      <c r="C4" s="97"/>
      <c r="D4" s="97"/>
      <c r="E4" s="2"/>
      <c r="F4" s="5" t="s">
        <v>167</v>
      </c>
      <c r="G4" s="50">
        <v>45235</v>
      </c>
      <c r="H4" s="2"/>
    </row>
    <row r="5" spans="2:16" ht="21" customHeight="1" thickBot="1">
      <c r="B5" s="2"/>
      <c r="C5" s="3"/>
      <c r="D5" s="3"/>
      <c r="E5" s="3"/>
      <c r="F5" s="3"/>
      <c r="G5" s="3"/>
      <c r="H5" s="2"/>
    </row>
    <row r="6" spans="2:16" ht="22" customHeight="1" thickTop="1">
      <c r="B6" s="90" t="s">
        <v>186</v>
      </c>
      <c r="C6" s="90"/>
      <c r="D6" s="90"/>
      <c r="E6" s="90"/>
      <c r="F6" s="90"/>
      <c r="G6" s="90"/>
      <c r="H6" s="90"/>
    </row>
    <row r="7" spans="2:16" ht="23" customHeight="1">
      <c r="B7" s="2"/>
      <c r="C7" s="6" t="s">
        <v>178</v>
      </c>
      <c r="D7" s="26"/>
      <c r="E7" s="7"/>
      <c r="F7" s="6" t="s">
        <v>181</v>
      </c>
      <c r="G7" s="30" t="str">
        <f>IFERROR(VLOOKUP(D7,表2[],2,0),"")</f>
        <v/>
      </c>
      <c r="H7" s="2"/>
    </row>
    <row r="8" spans="2:16" ht="23" customHeight="1">
      <c r="B8" s="2"/>
      <c r="C8" s="6" t="s">
        <v>177</v>
      </c>
      <c r="D8" s="30" t="str">
        <f>IFERROR(VLOOKUP(D7,表2[],4,0),"")</f>
        <v/>
      </c>
      <c r="E8" s="7"/>
      <c r="F8" s="6" t="s">
        <v>182</v>
      </c>
      <c r="G8" s="30" t="str">
        <f>IFERROR(VLOOKUP(D7,表2[],3,0),"")</f>
        <v/>
      </c>
      <c r="H8" s="2"/>
    </row>
    <row r="9" spans="2:16" ht="23" customHeight="1">
      <c r="B9" s="2"/>
      <c r="C9" s="6" t="s">
        <v>179</v>
      </c>
      <c r="D9" s="30" t="str">
        <f>IFERROR(VLOOKUP(D7,表2[],5,0),"")</f>
        <v/>
      </c>
      <c r="E9" s="7"/>
      <c r="F9" s="6" t="s">
        <v>183</v>
      </c>
      <c r="G9" s="31" t="str">
        <f>IFERROR(VLOOKUP(D7,表2[],6,0),"")</f>
        <v/>
      </c>
      <c r="H9" s="2"/>
    </row>
    <row r="10" spans="2:16" ht="23" customHeight="1">
      <c r="B10" s="2"/>
      <c r="C10" s="6" t="s">
        <v>180</v>
      </c>
      <c r="D10" s="31" t="str">
        <f>IFERROR(VLOOKUP(D7,表2[],7,0),"")</f>
        <v/>
      </c>
      <c r="E10" s="7"/>
      <c r="F10" s="6" t="s">
        <v>184</v>
      </c>
      <c r="G10" s="31" t="str">
        <f>IFERROR(VLOOKUP(D7,表2[],8,0),"")</f>
        <v/>
      </c>
      <c r="H10" s="2"/>
    </row>
    <row r="11" spans="2:16" ht="29" customHeight="1" thickBot="1">
      <c r="B11" s="2"/>
      <c r="C11" s="24"/>
      <c r="D11" s="25"/>
      <c r="E11" s="3"/>
      <c r="F11" s="3"/>
      <c r="G11" s="3"/>
      <c r="H11" s="2"/>
    </row>
    <row r="12" spans="2:16" ht="22" customHeight="1" thickTop="1">
      <c r="B12" s="2"/>
      <c r="C12" s="90" t="s">
        <v>185</v>
      </c>
      <c r="D12" s="90"/>
      <c r="E12" s="90"/>
      <c r="F12" s="90"/>
      <c r="G12" s="90"/>
      <c r="H12" s="2"/>
    </row>
    <row r="13" spans="2:16">
      <c r="B13" s="2"/>
      <c r="C13" s="6" t="s">
        <v>187</v>
      </c>
      <c r="D13" s="44" t="str">
        <f>IFERROR(VLOOKUP(D7,表2[],9,0),"")</f>
        <v/>
      </c>
      <c r="E13" s="28"/>
      <c r="F13" s="28"/>
      <c r="G13" s="28"/>
      <c r="H13" s="2"/>
    </row>
    <row r="14" spans="2:16">
      <c r="B14" s="2"/>
      <c r="C14" s="6" t="s">
        <v>188</v>
      </c>
      <c r="D14" s="29" t="str">
        <f>IFERROR(VLOOKUP(D7,表2[],10,0),"")</f>
        <v/>
      </c>
      <c r="E14" s="28"/>
      <c r="F14" s="6" t="s">
        <v>189</v>
      </c>
      <c r="G14" s="27" t="str">
        <f>IFERROR(VLOOKUP(D7,表2[],11,0),"")</f>
        <v/>
      </c>
      <c r="H14" s="2"/>
    </row>
    <row r="15" spans="2:16" ht="24" customHeight="1" thickBot="1">
      <c r="B15" s="2"/>
      <c r="C15" s="8"/>
      <c r="D15" s="8"/>
      <c r="E15" s="8"/>
      <c r="F15" s="8"/>
      <c r="G15" s="8"/>
      <c r="H15" s="2"/>
    </row>
    <row r="16" spans="2:16" ht="25" customHeight="1" thickBot="1">
      <c r="B16" s="2"/>
      <c r="C16" s="9" t="s">
        <v>168</v>
      </c>
      <c r="D16" s="9" t="s">
        <v>169</v>
      </c>
      <c r="E16" s="9" t="s">
        <v>170</v>
      </c>
      <c r="F16" s="9" t="s">
        <v>171</v>
      </c>
      <c r="G16" s="9" t="s">
        <v>172</v>
      </c>
      <c r="H16" s="2"/>
    </row>
    <row r="17" spans="2:8" ht="25" customHeight="1">
      <c r="B17" s="2"/>
      <c r="C17" s="10" t="str">
        <f>IFERROR(VLOOKUP(D17,CHOOSE({2,1},表1[Item],表1[Description]),2,0),"")</f>
        <v/>
      </c>
      <c r="D17" s="11"/>
      <c r="E17" s="11"/>
      <c r="F17" s="12" t="str">
        <f>IF(OR(D17=""),"",INDEX(表1[Unit Price], MATCH(PO!D17, 表1[Description],0)))</f>
        <v/>
      </c>
      <c r="G17" s="12" t="str">
        <f>IF(OR(E17="",F17=""),"",E17*F17)</f>
        <v/>
      </c>
      <c r="H17" s="2"/>
    </row>
    <row r="18" spans="2:8" ht="25" customHeight="1">
      <c r="B18" s="2"/>
      <c r="C18" s="10" t="str">
        <f>IFERROR(VLOOKUP(D18,CHOOSE({2,1},表1[Item],表1[Description]),2,0),"")</f>
        <v/>
      </c>
      <c r="D18" s="13"/>
      <c r="E18" s="13"/>
      <c r="F18" s="12" t="str">
        <f>IF(OR(D18=""),"",INDEX(表1[Unit Price], MATCH(PO!D18, 表1[Description],0)))</f>
        <v/>
      </c>
      <c r="G18" s="12" t="str">
        <f>IF(OR(E18="",F18=""),"",E18*F18)</f>
        <v/>
      </c>
      <c r="H18" s="2"/>
    </row>
    <row r="19" spans="2:8" ht="25" customHeight="1">
      <c r="B19" s="2"/>
      <c r="C19" s="10" t="str">
        <f>IFERROR(VLOOKUP(D19,CHOOSE({2,1},表1[Item],表1[Description]),2,0),"")</f>
        <v/>
      </c>
      <c r="D19" s="13"/>
      <c r="E19" s="13"/>
      <c r="F19" s="12" t="str">
        <f>IF(OR(D19=""),"",INDEX(表1[Unit Price], MATCH(PO!D19, 表1[Description],0)))</f>
        <v/>
      </c>
      <c r="G19" s="12" t="str">
        <f t="shared" ref="G19:G23" si="0">IF(OR(E19="",F19=""),"",E19*F19)</f>
        <v/>
      </c>
      <c r="H19" s="2"/>
    </row>
    <row r="20" spans="2:8" ht="25" customHeight="1">
      <c r="B20" s="2"/>
      <c r="C20" s="10" t="str">
        <f>IFERROR(VLOOKUP(D20,CHOOSE({2,1},表1[Item],表1[Description]),2,0),"")</f>
        <v/>
      </c>
      <c r="D20" s="13"/>
      <c r="E20" s="13"/>
      <c r="F20" s="12" t="str">
        <f>IF(OR(D20=""),"",INDEX(表1[Unit Price], MATCH(PO!D20, 表1[Description],0)))</f>
        <v/>
      </c>
      <c r="G20" s="12" t="str">
        <f t="shared" si="0"/>
        <v/>
      </c>
      <c r="H20" s="2"/>
    </row>
    <row r="21" spans="2:8" ht="25" customHeight="1">
      <c r="B21" s="2"/>
      <c r="C21" s="10" t="str">
        <f>IFERROR(VLOOKUP(D21,CHOOSE({2,1},表1[Item],表1[Description]),2,0),"")</f>
        <v/>
      </c>
      <c r="D21" s="13"/>
      <c r="E21" s="13"/>
      <c r="F21" s="12" t="str">
        <f>IF(OR(D21=""),"",INDEX(表1[Unit Price], MATCH(PO!D21, 表1[Description],0)))</f>
        <v/>
      </c>
      <c r="G21" s="12" t="str">
        <f t="shared" si="0"/>
        <v/>
      </c>
      <c r="H21" s="2"/>
    </row>
    <row r="22" spans="2:8" ht="25" customHeight="1">
      <c r="B22" s="2"/>
      <c r="C22" s="10" t="str">
        <f>IFERROR(VLOOKUP(D22,CHOOSE({2,1},表1[Item],表1[Description]),2,0),"")</f>
        <v/>
      </c>
      <c r="D22" s="13"/>
      <c r="E22" s="13"/>
      <c r="F22" s="12" t="str">
        <f>IF(OR(D22=""),"",INDEX(表1[Unit Price], MATCH(PO!D22, 表1[Description],0)))</f>
        <v/>
      </c>
      <c r="G22" s="12" t="str">
        <f t="shared" si="0"/>
        <v/>
      </c>
      <c r="H22" s="2"/>
    </row>
    <row r="23" spans="2:8" ht="25" customHeight="1">
      <c r="B23" s="2"/>
      <c r="C23" s="14" t="str">
        <f>IFERROR(VLOOKUP(D23,CHOOSE({2,1},表1[Item],表1[Description]),2,0),"")</f>
        <v/>
      </c>
      <c r="D23" s="15"/>
      <c r="E23" s="15"/>
      <c r="F23" s="16" t="str">
        <f>IF(OR(D23=""),"",INDEX(表1[Unit Price], MATCH(PO!D23, 表1[Description],0)))</f>
        <v/>
      </c>
      <c r="G23" s="16" t="str">
        <f t="shared" si="0"/>
        <v/>
      </c>
      <c r="H23" s="2"/>
    </row>
    <row r="24" spans="2:8" ht="25" customHeight="1">
      <c r="B24" s="2"/>
      <c r="C24" s="2"/>
      <c r="D24" s="2"/>
      <c r="E24" s="2"/>
      <c r="F24" s="17" t="s">
        <v>173</v>
      </c>
      <c r="G24" s="18">
        <f>SUM(G17:G23)</f>
        <v>0</v>
      </c>
      <c r="H24" s="2"/>
    </row>
    <row r="25" spans="2:8" ht="25" customHeight="1">
      <c r="B25" s="2"/>
      <c r="C25" s="2"/>
      <c r="D25" s="2"/>
      <c r="E25" s="2"/>
      <c r="F25" s="19" t="s">
        <v>174</v>
      </c>
      <c r="G25" s="20" t="str">
        <f>IF(G17="","",60)</f>
        <v/>
      </c>
      <c r="H25" s="2"/>
    </row>
    <row r="26" spans="2:8" ht="25" customHeight="1" thickBot="1">
      <c r="B26" s="2"/>
      <c r="C26" s="2"/>
      <c r="D26" s="2"/>
      <c r="E26" s="2"/>
      <c r="F26" s="21" t="s">
        <v>175</v>
      </c>
      <c r="G26" s="22">
        <f>SUM(G24:G25)</f>
        <v>0</v>
      </c>
      <c r="H26" s="2"/>
    </row>
    <row r="27" spans="2:8" ht="28" customHeight="1">
      <c r="B27" s="2"/>
      <c r="C27" s="2"/>
      <c r="D27" s="2"/>
      <c r="E27" s="2"/>
      <c r="F27" s="2"/>
      <c r="G27" s="2"/>
      <c r="H27" s="2"/>
    </row>
    <row r="28" spans="2:8">
      <c r="B28" s="2"/>
      <c r="C28" s="23" t="s">
        <v>176</v>
      </c>
      <c r="D28" s="2"/>
      <c r="E28" s="2"/>
      <c r="F28" s="2"/>
      <c r="G28" s="2"/>
      <c r="H28" s="2"/>
    </row>
    <row r="29" spans="2:8" ht="21" customHeight="1">
      <c r="B29" s="2"/>
      <c r="C29" s="91"/>
      <c r="D29" s="92"/>
      <c r="E29" s="92"/>
      <c r="F29" s="92"/>
      <c r="G29" s="93"/>
      <c r="H29" s="2"/>
    </row>
    <row r="30" spans="2:8" ht="21" customHeight="1">
      <c r="B30" s="2"/>
      <c r="C30" s="94"/>
      <c r="D30" s="95"/>
      <c r="E30" s="95"/>
      <c r="F30" s="95"/>
      <c r="G30" s="96"/>
      <c r="H30" s="2"/>
    </row>
    <row r="31" spans="2:8" ht="38" customHeight="1">
      <c r="B31" s="2"/>
      <c r="C31" s="2"/>
      <c r="D31" s="2"/>
      <c r="E31" s="2"/>
      <c r="F31" s="2"/>
      <c r="G31" s="2"/>
      <c r="H31" s="2"/>
    </row>
  </sheetData>
  <sheetProtection algorithmName="SHA-512" hashValue="ntBtqVgl3G/4NzJ4Nx5+va+lT/bQSC3GZgPG0crX3y9ryRPegsIKXcNyhgKNXPEmBVpmebkTfCyn5TgJaEdNyw==" saltValue="9DAjc1q4uI/L1PsdLxeU7Q==" spinCount="100000" sheet="1" objects="1" scenarios="1"/>
  <mergeCells count="4">
    <mergeCell ref="B6:H6"/>
    <mergeCell ref="C29:G30"/>
    <mergeCell ref="C3:D4"/>
    <mergeCell ref="C12:G12"/>
  </mergeCells>
  <phoneticPr fontId="1" type="noConversion"/>
  <dataValidations count="1">
    <dataValidation type="whole" operator="lessThanOrEqual" allowBlank="1" showInputMessage="1" showErrorMessage="1" errorTitle="Invalid quantity" error="Orders cannot be made for quantities greater than 100 without the business owner's approval" sqref="E17:E23" xr:uid="{22ABD4C0-306A-754F-94D1-8798E21BFFA7}">
      <formula1>100</formula1>
    </dataValidation>
  </dataValidations>
  <printOptions horizontalCentered="1"/>
  <pageMargins left="0.25" right="0.25" top="0.75" bottom="0.75" header="0.3" footer="0.3"/>
  <pageSetup paperSize="9" scale="9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DF0FD6-5C84-CE4A-9A4A-16FAD2684097}">
          <x14:formula1>
            <xm:f>Suppliers!$A$7:$A$53</xm:f>
          </x14:formula1>
          <xm:sqref>D7</xm:sqref>
        </x14:dataValidation>
        <x14:dataValidation type="list" allowBlank="1" showInputMessage="1" showErrorMessage="1" xr:uid="{CEF0391B-9E46-6844-9F25-A72E33E9AD0F}">
          <x14:formula1>
            <xm:f>Prices!$B$3:$B$27</xm:f>
          </x14:formula1>
          <xm:sqref>D17:D23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04A4-E79A-0E4A-B465-BA93CB129A0B}">
  <sheetPr codeName="Sheet2"/>
  <dimension ref="A1:K26"/>
  <sheetViews>
    <sheetView topLeftCell="A9" zoomScale="63" zoomScaleNormal="50" workbookViewId="0">
      <selection activeCell="D34" sqref="D34"/>
    </sheetView>
  </sheetViews>
  <sheetFormatPr defaultColWidth="11.75" defaultRowHeight="19.5" customHeight="1"/>
  <cols>
    <col min="1" max="5" width="33.1640625" style="32" customWidth="1"/>
    <col min="6" max="6" width="33.1640625" style="70" customWidth="1"/>
    <col min="7" max="11" width="33.1640625" style="32" customWidth="1"/>
    <col min="12" max="12" width="16.4140625" style="32" customWidth="1"/>
    <col min="13" max="15" width="19.75" style="32" customWidth="1"/>
    <col min="16" max="16384" width="11.75" style="32"/>
  </cols>
  <sheetData>
    <row r="1" spans="1:11" ht="20.25" customHeight="1">
      <c r="A1" s="98" t="s">
        <v>133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20.25" customHeight="1">
      <c r="A2" s="101"/>
      <c r="B2" s="102"/>
      <c r="C2" s="102"/>
      <c r="D2" s="102"/>
      <c r="E2" s="102"/>
      <c r="F2" s="102"/>
      <c r="G2" s="102"/>
      <c r="H2" s="102"/>
      <c r="I2" s="102"/>
      <c r="J2" s="102"/>
      <c r="K2" s="103"/>
    </row>
    <row r="3" spans="1:11" ht="20.25" customHeight="1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3"/>
    </row>
    <row r="4" spans="1:11" ht="20.25" customHeight="1">
      <c r="A4" s="101"/>
      <c r="B4" s="102"/>
      <c r="C4" s="102"/>
      <c r="D4" s="102"/>
      <c r="E4" s="102"/>
      <c r="F4" s="102"/>
      <c r="G4" s="102"/>
      <c r="H4" s="102"/>
      <c r="I4" s="102"/>
      <c r="J4" s="102"/>
      <c r="K4" s="103"/>
    </row>
    <row r="5" spans="1:11" ht="15.5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3"/>
    </row>
    <row r="6" spans="1:11" ht="35" customHeight="1">
      <c r="A6" s="33" t="s">
        <v>9</v>
      </c>
      <c r="B6" s="33" t="s">
        <v>10</v>
      </c>
      <c r="C6" s="33" t="s">
        <v>0</v>
      </c>
      <c r="D6" s="33" t="s">
        <v>1</v>
      </c>
      <c r="E6" s="33" t="s">
        <v>3</v>
      </c>
      <c r="F6" s="67" t="s">
        <v>2</v>
      </c>
      <c r="G6" s="33" t="s">
        <v>5</v>
      </c>
      <c r="H6" s="33" t="s">
        <v>4</v>
      </c>
      <c r="I6" s="33" t="s">
        <v>7</v>
      </c>
      <c r="J6" s="33" t="s">
        <v>11</v>
      </c>
      <c r="K6" s="33" t="s">
        <v>12</v>
      </c>
    </row>
    <row r="7" spans="1:11" ht="35" customHeight="1">
      <c r="A7" s="34" t="s">
        <v>85</v>
      </c>
      <c r="B7" s="34" t="s">
        <v>86</v>
      </c>
      <c r="C7" s="34" t="s">
        <v>87</v>
      </c>
      <c r="D7" s="34" t="s">
        <v>88</v>
      </c>
      <c r="E7" s="34" t="s">
        <v>89</v>
      </c>
      <c r="F7" s="68">
        <v>3645243</v>
      </c>
      <c r="G7" s="34">
        <v>45678</v>
      </c>
      <c r="H7" s="35" t="s">
        <v>90</v>
      </c>
      <c r="I7" s="61">
        <v>0.02</v>
      </c>
      <c r="J7" s="35">
        <v>12</v>
      </c>
      <c r="K7" s="35">
        <v>100</v>
      </c>
    </row>
    <row r="8" spans="1:11" ht="35" customHeight="1">
      <c r="A8" s="34" t="s">
        <v>115</v>
      </c>
      <c r="B8" s="34" t="s">
        <v>116</v>
      </c>
      <c r="C8" s="34" t="s">
        <v>117</v>
      </c>
      <c r="D8" s="34" t="s">
        <v>118</v>
      </c>
      <c r="E8" s="34" t="s">
        <v>119</v>
      </c>
      <c r="F8" s="68">
        <v>8473521</v>
      </c>
      <c r="G8" s="34">
        <v>56789</v>
      </c>
      <c r="H8" s="35" t="s">
        <v>120</v>
      </c>
      <c r="I8" s="61">
        <v>0.01</v>
      </c>
      <c r="J8" s="35">
        <v>8</v>
      </c>
      <c r="K8" s="35">
        <v>50</v>
      </c>
    </row>
    <row r="9" spans="1:11" ht="35" customHeight="1">
      <c r="A9" s="35" t="s">
        <v>49</v>
      </c>
      <c r="B9" s="35" t="s">
        <v>50</v>
      </c>
      <c r="C9" s="35" t="s">
        <v>51</v>
      </c>
      <c r="D9" s="35" t="s">
        <v>52</v>
      </c>
      <c r="E9" s="35" t="s">
        <v>53</v>
      </c>
      <c r="F9" s="68">
        <v>9487653</v>
      </c>
      <c r="G9" s="34">
        <v>67855</v>
      </c>
      <c r="H9" s="34" t="s">
        <v>54</v>
      </c>
      <c r="I9" s="61">
        <v>0.03</v>
      </c>
      <c r="J9" s="35">
        <v>10</v>
      </c>
      <c r="K9" s="35">
        <v>50</v>
      </c>
    </row>
    <row r="10" spans="1:11" ht="35" customHeight="1">
      <c r="A10" s="34" t="s">
        <v>109</v>
      </c>
      <c r="B10" s="34" t="s">
        <v>110</v>
      </c>
      <c r="C10" s="34" t="s">
        <v>111</v>
      </c>
      <c r="D10" s="34" t="s">
        <v>112</v>
      </c>
      <c r="E10" s="34" t="s">
        <v>113</v>
      </c>
      <c r="F10" s="68">
        <v>8374653</v>
      </c>
      <c r="G10" s="34">
        <v>32109</v>
      </c>
      <c r="H10" s="35" t="s">
        <v>114</v>
      </c>
      <c r="I10" s="61">
        <v>0.01</v>
      </c>
      <c r="J10" s="35">
        <v>19</v>
      </c>
      <c r="K10" s="35">
        <v>50</v>
      </c>
    </row>
    <row r="11" spans="1:11" ht="35" customHeight="1">
      <c r="A11" s="34" t="s">
        <v>121</v>
      </c>
      <c r="B11" s="34" t="s">
        <v>122</v>
      </c>
      <c r="C11" s="34" t="s">
        <v>123</v>
      </c>
      <c r="D11" s="34" t="s">
        <v>124</v>
      </c>
      <c r="E11" s="34" t="s">
        <v>125</v>
      </c>
      <c r="F11" s="68">
        <v>9384656</v>
      </c>
      <c r="G11" s="34">
        <v>43210</v>
      </c>
      <c r="H11" s="35" t="s">
        <v>126</v>
      </c>
      <c r="I11" s="61">
        <v>0.01</v>
      </c>
      <c r="J11" s="35">
        <v>8</v>
      </c>
      <c r="K11" s="35">
        <v>50</v>
      </c>
    </row>
    <row r="12" spans="1:11" ht="35" customHeight="1">
      <c r="A12" s="35" t="s">
        <v>67</v>
      </c>
      <c r="B12" s="35" t="s">
        <v>68</v>
      </c>
      <c r="C12" s="35" t="s">
        <v>69</v>
      </c>
      <c r="D12" s="35" t="s">
        <v>70</v>
      </c>
      <c r="E12" s="35" t="s">
        <v>71</v>
      </c>
      <c r="F12" s="68">
        <v>4837254</v>
      </c>
      <c r="G12" s="34">
        <v>25021</v>
      </c>
      <c r="H12" s="34" t="s">
        <v>72</v>
      </c>
      <c r="I12" s="61">
        <v>0.03</v>
      </c>
      <c r="J12" s="35">
        <v>17</v>
      </c>
      <c r="K12" s="35">
        <v>20</v>
      </c>
    </row>
    <row r="13" spans="1:11" ht="35" customHeight="1">
      <c r="A13" s="34" t="s">
        <v>37</v>
      </c>
      <c r="B13" s="34" t="s">
        <v>38</v>
      </c>
      <c r="C13" s="34" t="s">
        <v>39</v>
      </c>
      <c r="D13" s="34" t="s">
        <v>40</v>
      </c>
      <c r="E13" s="34" t="s">
        <v>41</v>
      </c>
      <c r="F13" s="68">
        <v>7463890</v>
      </c>
      <c r="G13" s="34">
        <v>43210</v>
      </c>
      <c r="H13" s="34" t="s">
        <v>42</v>
      </c>
      <c r="I13" s="61">
        <v>0.03</v>
      </c>
      <c r="J13" s="35">
        <v>16</v>
      </c>
      <c r="K13" s="35">
        <v>80</v>
      </c>
    </row>
    <row r="14" spans="1:11" ht="35" customHeight="1">
      <c r="A14" s="34" t="s">
        <v>31</v>
      </c>
      <c r="B14" s="34" t="s">
        <v>32</v>
      </c>
      <c r="C14" s="34" t="s">
        <v>33</v>
      </c>
      <c r="D14" s="34" t="s">
        <v>34</v>
      </c>
      <c r="E14" s="34" t="s">
        <v>35</v>
      </c>
      <c r="F14" s="68">
        <v>7356478</v>
      </c>
      <c r="G14" s="34">
        <v>56789</v>
      </c>
      <c r="H14" s="34" t="s">
        <v>36</v>
      </c>
      <c r="I14" s="61">
        <v>0.05</v>
      </c>
      <c r="J14" s="35">
        <v>14</v>
      </c>
      <c r="K14" s="35">
        <v>100</v>
      </c>
    </row>
    <row r="15" spans="1:11" ht="35" customHeight="1">
      <c r="A15" s="35" t="s">
        <v>13</v>
      </c>
      <c r="B15" s="69" t="s">
        <v>14</v>
      </c>
      <c r="C15" s="35" t="s">
        <v>15</v>
      </c>
      <c r="D15" s="35" t="s">
        <v>16</v>
      </c>
      <c r="E15" s="35" t="s">
        <v>17</v>
      </c>
      <c r="F15" s="68">
        <v>1234567</v>
      </c>
      <c r="G15" s="35">
        <v>54321</v>
      </c>
      <c r="H15" s="35" t="s">
        <v>18</v>
      </c>
      <c r="I15" s="61">
        <v>0.05</v>
      </c>
      <c r="J15" s="35">
        <v>10</v>
      </c>
      <c r="K15" s="35">
        <v>100</v>
      </c>
    </row>
    <row r="16" spans="1:11" ht="35" customHeight="1">
      <c r="A16" s="34" t="s">
        <v>25</v>
      </c>
      <c r="B16" s="34" t="s">
        <v>26</v>
      </c>
      <c r="C16" s="34" t="s">
        <v>27</v>
      </c>
      <c r="D16" s="34" t="s">
        <v>28</v>
      </c>
      <c r="E16" s="34" t="s">
        <v>29</v>
      </c>
      <c r="F16" s="68">
        <v>3768564</v>
      </c>
      <c r="G16" s="34">
        <v>45632</v>
      </c>
      <c r="H16" s="34" t="s">
        <v>30</v>
      </c>
      <c r="I16" s="61">
        <v>0.05</v>
      </c>
      <c r="J16" s="35">
        <v>20</v>
      </c>
      <c r="K16" s="35">
        <v>100</v>
      </c>
    </row>
    <row r="17" spans="1:11" ht="35" customHeight="1">
      <c r="A17" s="35" t="s">
        <v>55</v>
      </c>
      <c r="B17" s="35" t="s">
        <v>56</v>
      </c>
      <c r="C17" s="35" t="s">
        <v>57</v>
      </c>
      <c r="D17" s="35" t="s">
        <v>58</v>
      </c>
      <c r="E17" s="35" t="s">
        <v>59</v>
      </c>
      <c r="F17" s="68">
        <v>9634270</v>
      </c>
      <c r="G17" s="34">
        <v>25786</v>
      </c>
      <c r="H17" s="34" t="s">
        <v>60</v>
      </c>
      <c r="I17" s="61">
        <v>0.03</v>
      </c>
      <c r="J17" s="35">
        <v>30</v>
      </c>
      <c r="K17" s="35">
        <v>50</v>
      </c>
    </row>
    <row r="18" spans="1:11" ht="35" customHeight="1">
      <c r="A18" s="34" t="s">
        <v>91</v>
      </c>
      <c r="B18" s="34" t="s">
        <v>92</v>
      </c>
      <c r="C18" s="34" t="s">
        <v>93</v>
      </c>
      <c r="D18" s="34" t="s">
        <v>94</v>
      </c>
      <c r="E18" s="34" t="s">
        <v>95</v>
      </c>
      <c r="F18" s="68">
        <v>4736537</v>
      </c>
      <c r="G18" s="34">
        <v>87654</v>
      </c>
      <c r="H18" s="35" t="s">
        <v>96</v>
      </c>
      <c r="I18" s="61">
        <v>0.02</v>
      </c>
      <c r="J18" s="35">
        <v>12</v>
      </c>
      <c r="K18" s="35">
        <v>40</v>
      </c>
    </row>
    <row r="19" spans="1:11" ht="35" customHeight="1">
      <c r="A19" s="34" t="s">
        <v>79</v>
      </c>
      <c r="B19" s="34" t="s">
        <v>80</v>
      </c>
      <c r="C19" s="34" t="s">
        <v>81</v>
      </c>
      <c r="D19" s="34" t="s">
        <v>82</v>
      </c>
      <c r="E19" s="34" t="s">
        <v>83</v>
      </c>
      <c r="F19" s="68">
        <v>9306475</v>
      </c>
      <c r="G19" s="34">
        <v>98765</v>
      </c>
      <c r="H19" s="34" t="s">
        <v>84</v>
      </c>
      <c r="I19" s="61">
        <v>0.02</v>
      </c>
      <c r="J19" s="35">
        <v>12</v>
      </c>
      <c r="K19" s="35">
        <v>40</v>
      </c>
    </row>
    <row r="20" spans="1:11" ht="35" customHeight="1">
      <c r="A20" s="34" t="s">
        <v>73</v>
      </c>
      <c r="B20" s="34" t="s">
        <v>74</v>
      </c>
      <c r="C20" s="34" t="s">
        <v>75</v>
      </c>
      <c r="D20" s="34" t="s">
        <v>76</v>
      </c>
      <c r="E20" s="34" t="s">
        <v>77</v>
      </c>
      <c r="F20" s="68">
        <v>1338476</v>
      </c>
      <c r="G20" s="34">
        <v>19885</v>
      </c>
      <c r="H20" s="34" t="s">
        <v>78</v>
      </c>
      <c r="I20" s="61">
        <v>0.02</v>
      </c>
      <c r="J20" s="35">
        <v>17</v>
      </c>
      <c r="K20" s="35">
        <v>40</v>
      </c>
    </row>
    <row r="21" spans="1:11" ht="35" customHeight="1">
      <c r="A21" s="34" t="s">
        <v>97</v>
      </c>
      <c r="B21" s="34" t="s">
        <v>98</v>
      </c>
      <c r="C21" s="34" t="s">
        <v>99</v>
      </c>
      <c r="D21" s="34" t="s">
        <v>100</v>
      </c>
      <c r="E21" s="34" t="s">
        <v>101</v>
      </c>
      <c r="F21" s="68">
        <v>3846530</v>
      </c>
      <c r="G21" s="34">
        <v>23456</v>
      </c>
      <c r="H21" s="35" t="s">
        <v>102</v>
      </c>
      <c r="I21" s="61">
        <v>0.02</v>
      </c>
      <c r="J21" s="35">
        <v>19</v>
      </c>
      <c r="K21" s="35">
        <v>50</v>
      </c>
    </row>
    <row r="22" spans="1:11" ht="35" customHeight="1">
      <c r="A22" s="34" t="s">
        <v>103</v>
      </c>
      <c r="B22" s="34" t="s">
        <v>104</v>
      </c>
      <c r="C22" s="34" t="s">
        <v>105</v>
      </c>
      <c r="D22" s="34" t="s">
        <v>106</v>
      </c>
      <c r="E22" s="34" t="s">
        <v>107</v>
      </c>
      <c r="F22" s="68">
        <v>9473527</v>
      </c>
      <c r="G22" s="34">
        <v>76543</v>
      </c>
      <c r="H22" s="35" t="s">
        <v>108</v>
      </c>
      <c r="I22" s="61">
        <v>0.02</v>
      </c>
      <c r="J22" s="35">
        <v>19</v>
      </c>
      <c r="K22" s="35">
        <v>50</v>
      </c>
    </row>
    <row r="23" spans="1:11" ht="35" customHeight="1">
      <c r="A23" s="34" t="s">
        <v>43</v>
      </c>
      <c r="B23" s="34" t="s">
        <v>44</v>
      </c>
      <c r="C23" s="34" t="s">
        <v>45</v>
      </c>
      <c r="D23" s="34" t="s">
        <v>46</v>
      </c>
      <c r="E23" s="34" t="s">
        <v>47</v>
      </c>
      <c r="F23" s="68">
        <v>6475630</v>
      </c>
      <c r="G23" s="34">
        <v>21098</v>
      </c>
      <c r="H23" s="34" t="s">
        <v>48</v>
      </c>
      <c r="I23" s="61">
        <v>0.03</v>
      </c>
      <c r="J23" s="35">
        <v>12</v>
      </c>
      <c r="K23" s="35">
        <v>80</v>
      </c>
    </row>
    <row r="24" spans="1:11" ht="35" customHeight="1">
      <c r="A24" s="34" t="s">
        <v>19</v>
      </c>
      <c r="B24" s="34" t="s">
        <v>20</v>
      </c>
      <c r="C24" s="34" t="s">
        <v>21</v>
      </c>
      <c r="D24" s="34" t="s">
        <v>22</v>
      </c>
      <c r="E24" s="34" t="s">
        <v>23</v>
      </c>
      <c r="F24" s="68">
        <v>7683648</v>
      </c>
      <c r="G24" s="34">
        <v>78901</v>
      </c>
      <c r="H24" s="34" t="s">
        <v>24</v>
      </c>
      <c r="I24" s="61">
        <v>0.05</v>
      </c>
      <c r="J24" s="35">
        <v>25</v>
      </c>
      <c r="K24" s="35">
        <v>100</v>
      </c>
    </row>
    <row r="25" spans="1:11" ht="35" customHeight="1">
      <c r="A25" s="35" t="s">
        <v>61</v>
      </c>
      <c r="B25" s="35" t="s">
        <v>62</v>
      </c>
      <c r="C25" s="35" t="s">
        <v>63</v>
      </c>
      <c r="D25" s="35" t="s">
        <v>64</v>
      </c>
      <c r="E25" s="35" t="s">
        <v>65</v>
      </c>
      <c r="F25" s="68">
        <v>3847635</v>
      </c>
      <c r="G25" s="34">
        <v>19856</v>
      </c>
      <c r="H25" s="34" t="s">
        <v>66</v>
      </c>
      <c r="I25" s="61">
        <v>0.03</v>
      </c>
      <c r="J25" s="35">
        <v>17</v>
      </c>
      <c r="K25" s="35">
        <v>20</v>
      </c>
    </row>
    <row r="26" spans="1:11" ht="35" customHeight="1">
      <c r="A26" s="34" t="s">
        <v>127</v>
      </c>
      <c r="B26" s="34" t="s">
        <v>128</v>
      </c>
      <c r="C26" s="34" t="s">
        <v>129</v>
      </c>
      <c r="D26" s="34" t="s">
        <v>130</v>
      </c>
      <c r="E26" s="34" t="s">
        <v>131</v>
      </c>
      <c r="F26" s="68">
        <v>3846254</v>
      </c>
      <c r="G26" s="34">
        <v>21098</v>
      </c>
      <c r="H26" s="35" t="s">
        <v>132</v>
      </c>
      <c r="I26" s="61">
        <v>0.01</v>
      </c>
      <c r="J26" s="35">
        <v>5</v>
      </c>
      <c r="K26" s="35">
        <v>50</v>
      </c>
    </row>
  </sheetData>
  <sheetProtection selectLockedCells="1"/>
  <mergeCells count="1">
    <mergeCell ref="A1:K5"/>
  </mergeCells>
  <phoneticPr fontId="1" type="noConversion"/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01A4-5914-D243-8917-EEB16EAD6FD9}">
  <sheetPr codeName="Sheet3"/>
  <dimension ref="A1:C27"/>
  <sheetViews>
    <sheetView zoomScale="84" workbookViewId="0">
      <selection activeCell="K11" sqref="K11"/>
    </sheetView>
  </sheetViews>
  <sheetFormatPr defaultColWidth="10.75" defaultRowHeight="15.5"/>
  <cols>
    <col min="1" max="3" width="22.83203125" style="35" customWidth="1"/>
    <col min="4" max="16384" width="10.75" style="32"/>
  </cols>
  <sheetData>
    <row r="1" spans="1:3" ht="35">
      <c r="A1" s="104" t="s">
        <v>134</v>
      </c>
      <c r="B1" s="104"/>
      <c r="C1" s="104"/>
    </row>
    <row r="2" spans="1:3" ht="25" customHeight="1">
      <c r="A2" s="33" t="s">
        <v>135</v>
      </c>
      <c r="B2" s="33" t="s">
        <v>136</v>
      </c>
      <c r="C2" s="33" t="s">
        <v>162</v>
      </c>
    </row>
    <row r="3" spans="1:3" ht="25" customHeight="1">
      <c r="A3" s="34" t="s">
        <v>192</v>
      </c>
      <c r="B3" s="34" t="s">
        <v>137</v>
      </c>
      <c r="C3" s="36">
        <v>3</v>
      </c>
    </row>
    <row r="4" spans="1:3" ht="25" customHeight="1">
      <c r="A4" s="34" t="s">
        <v>193</v>
      </c>
      <c r="B4" s="34" t="s">
        <v>138</v>
      </c>
      <c r="C4" s="36">
        <v>2</v>
      </c>
    </row>
    <row r="5" spans="1:3" ht="25" customHeight="1">
      <c r="A5" s="34" t="s">
        <v>194</v>
      </c>
      <c r="B5" s="34" t="s">
        <v>139</v>
      </c>
      <c r="C5" s="36">
        <v>4</v>
      </c>
    </row>
    <row r="6" spans="1:3" ht="25" customHeight="1">
      <c r="A6" s="34" t="s">
        <v>195</v>
      </c>
      <c r="B6" s="34" t="s">
        <v>140</v>
      </c>
      <c r="C6" s="36">
        <v>5</v>
      </c>
    </row>
    <row r="7" spans="1:3" ht="25" customHeight="1">
      <c r="A7" s="34" t="s">
        <v>196</v>
      </c>
      <c r="B7" s="35" t="s">
        <v>141</v>
      </c>
      <c r="C7" s="36">
        <v>6</v>
      </c>
    </row>
    <row r="8" spans="1:3" ht="25" customHeight="1">
      <c r="A8" s="34" t="s">
        <v>197</v>
      </c>
      <c r="B8" s="34" t="s">
        <v>142</v>
      </c>
      <c r="C8" s="36">
        <v>7</v>
      </c>
    </row>
    <row r="9" spans="1:3" ht="25" customHeight="1">
      <c r="A9" s="34" t="s">
        <v>198</v>
      </c>
      <c r="B9" s="35" t="s">
        <v>143</v>
      </c>
      <c r="C9" s="36">
        <v>8</v>
      </c>
    </row>
    <row r="10" spans="1:3" ht="25" customHeight="1">
      <c r="A10" s="34" t="s">
        <v>199</v>
      </c>
      <c r="B10" s="35" t="s">
        <v>144</v>
      </c>
      <c r="C10" s="36">
        <v>9</v>
      </c>
    </row>
    <row r="11" spans="1:3" ht="25" customHeight="1">
      <c r="A11" s="34" t="s">
        <v>200</v>
      </c>
      <c r="B11" s="35" t="s">
        <v>145</v>
      </c>
      <c r="C11" s="36">
        <v>30</v>
      </c>
    </row>
    <row r="12" spans="1:3" ht="25" customHeight="1">
      <c r="A12" s="34" t="s">
        <v>201</v>
      </c>
      <c r="B12" s="35" t="s">
        <v>146</v>
      </c>
      <c r="C12" s="36">
        <v>70</v>
      </c>
    </row>
    <row r="13" spans="1:3" ht="25" customHeight="1">
      <c r="A13" s="34" t="s">
        <v>202</v>
      </c>
      <c r="B13" s="35" t="s">
        <v>147</v>
      </c>
      <c r="C13" s="36">
        <v>189</v>
      </c>
    </row>
    <row r="14" spans="1:3" ht="25" customHeight="1">
      <c r="A14" s="34" t="s">
        <v>203</v>
      </c>
      <c r="B14" s="35" t="s">
        <v>148</v>
      </c>
      <c r="C14" s="36">
        <v>10</v>
      </c>
    </row>
    <row r="15" spans="1:3" ht="25" customHeight="1">
      <c r="A15" s="34" t="s">
        <v>204</v>
      </c>
      <c r="B15" s="35" t="s">
        <v>149</v>
      </c>
      <c r="C15" s="36">
        <v>1</v>
      </c>
    </row>
    <row r="16" spans="1:3" ht="25" customHeight="1">
      <c r="A16" s="34" t="s">
        <v>205</v>
      </c>
      <c r="B16" s="35" t="s">
        <v>150</v>
      </c>
      <c r="C16" s="36">
        <v>4</v>
      </c>
    </row>
    <row r="17" spans="1:3" ht="25" customHeight="1">
      <c r="A17" s="34" t="s">
        <v>206</v>
      </c>
      <c r="B17" s="35" t="s">
        <v>151</v>
      </c>
      <c r="C17" s="36">
        <v>6</v>
      </c>
    </row>
    <row r="18" spans="1:3" ht="25" customHeight="1">
      <c r="A18" s="34" t="s">
        <v>207</v>
      </c>
      <c r="B18" s="35" t="s">
        <v>152</v>
      </c>
      <c r="C18" s="36">
        <v>5</v>
      </c>
    </row>
    <row r="19" spans="1:3" ht="25" customHeight="1">
      <c r="A19" s="34" t="s">
        <v>208</v>
      </c>
      <c r="B19" s="35" t="s">
        <v>153</v>
      </c>
      <c r="C19" s="36">
        <v>1</v>
      </c>
    </row>
    <row r="20" spans="1:3" ht="25" customHeight="1">
      <c r="A20" s="34" t="s">
        <v>209</v>
      </c>
      <c r="B20" s="35" t="s">
        <v>154</v>
      </c>
      <c r="C20" s="36">
        <v>2</v>
      </c>
    </row>
    <row r="21" spans="1:3" ht="25" customHeight="1">
      <c r="A21" s="34" t="s">
        <v>210</v>
      </c>
      <c r="B21" s="35" t="s">
        <v>155</v>
      </c>
      <c r="C21" s="36">
        <v>6</v>
      </c>
    </row>
    <row r="22" spans="1:3" ht="25" customHeight="1">
      <c r="A22" s="34" t="s">
        <v>211</v>
      </c>
      <c r="B22" s="35" t="s">
        <v>156</v>
      </c>
      <c r="C22" s="36">
        <v>50</v>
      </c>
    </row>
    <row r="23" spans="1:3" ht="25" customHeight="1">
      <c r="A23" s="34" t="s">
        <v>212</v>
      </c>
      <c r="B23" s="35" t="s">
        <v>157</v>
      </c>
      <c r="C23" s="36">
        <v>30</v>
      </c>
    </row>
    <row r="24" spans="1:3" ht="25" customHeight="1">
      <c r="A24" s="34" t="s">
        <v>213</v>
      </c>
      <c r="B24" s="35" t="s">
        <v>158</v>
      </c>
      <c r="C24" s="36">
        <v>2</v>
      </c>
    </row>
    <row r="25" spans="1:3" ht="25" customHeight="1">
      <c r="A25" s="34" t="s">
        <v>214</v>
      </c>
      <c r="B25" s="35" t="s">
        <v>159</v>
      </c>
      <c r="C25" s="36">
        <v>8</v>
      </c>
    </row>
    <row r="26" spans="1:3" ht="25" customHeight="1">
      <c r="A26" s="34" t="s">
        <v>215</v>
      </c>
      <c r="B26" s="35" t="s">
        <v>160</v>
      </c>
      <c r="C26" s="36">
        <v>5</v>
      </c>
    </row>
    <row r="27" spans="1:3" ht="25" customHeight="1">
      <c r="A27" s="34" t="s">
        <v>216</v>
      </c>
      <c r="B27" s="35" t="s">
        <v>161</v>
      </c>
      <c r="C27" s="36">
        <v>20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428F1-3260-7E48-9F43-C6169478C3E5}">
  <sheetPr codeName="Sheet4"/>
  <dimension ref="A1:Q14"/>
  <sheetViews>
    <sheetView topLeftCell="C1" zoomScale="75" workbookViewId="0">
      <selection activeCell="N4" sqref="N4"/>
    </sheetView>
  </sheetViews>
  <sheetFormatPr defaultColWidth="10.75" defaultRowHeight="40" customHeight="1"/>
  <cols>
    <col min="1" max="1" width="19.83203125" style="39" customWidth="1"/>
    <col min="2" max="2" width="19.83203125" style="37" customWidth="1"/>
    <col min="3" max="3" width="19.83203125" style="40" customWidth="1"/>
    <col min="4" max="4" width="23.58203125" style="35" customWidth="1"/>
    <col min="5" max="7" width="19.83203125" style="35" customWidth="1"/>
    <col min="8" max="8" width="19.83203125" style="47" customWidth="1"/>
    <col min="9" max="9" width="19.83203125" style="37" customWidth="1"/>
    <col min="10" max="10" width="23.75" style="40" customWidth="1"/>
    <col min="11" max="11" width="34.1640625" style="35" customWidth="1"/>
    <col min="12" max="12" width="13.25" style="32" customWidth="1"/>
    <col min="13" max="16" width="10.75" style="32"/>
    <col min="17" max="17" width="0" style="75" hidden="1" customWidth="1"/>
    <col min="18" max="16384" width="10.75" style="32"/>
  </cols>
  <sheetData>
    <row r="1" spans="1:17" s="38" customFormat="1" ht="49" customHeight="1" thickBot="1">
      <c r="A1" s="105" t="s">
        <v>237</v>
      </c>
      <c r="B1" s="105"/>
      <c r="C1" s="105"/>
      <c r="D1" s="105"/>
      <c r="E1" s="105"/>
      <c r="F1" s="105"/>
      <c r="G1" s="105"/>
      <c r="H1" s="105"/>
      <c r="I1" s="105"/>
      <c r="J1" s="105"/>
      <c r="K1" s="72" t="s">
        <v>232</v>
      </c>
      <c r="L1" s="73">
        <f>MAX(A:A) + 1</f>
        <v>8</v>
      </c>
      <c r="Q1" s="75">
        <v>0</v>
      </c>
    </row>
    <row r="2" spans="1:17" ht="40" customHeight="1" thickBot="1">
      <c r="A2" s="43" t="s">
        <v>191</v>
      </c>
      <c r="B2" s="48" t="s">
        <v>6</v>
      </c>
      <c r="C2" s="62" t="s">
        <v>163</v>
      </c>
      <c r="D2" s="41" t="s">
        <v>164</v>
      </c>
      <c r="E2" s="41" t="s">
        <v>7</v>
      </c>
      <c r="F2" s="41" t="s">
        <v>8</v>
      </c>
      <c r="G2" s="41" t="s">
        <v>217</v>
      </c>
      <c r="H2" s="46" t="s">
        <v>233</v>
      </c>
      <c r="I2" s="48" t="s">
        <v>165</v>
      </c>
      <c r="J2" s="62" t="s">
        <v>222</v>
      </c>
      <c r="K2" s="72" t="s">
        <v>234</v>
      </c>
      <c r="L2" s="74">
        <f ca="1">TODAY()</f>
        <v>45235</v>
      </c>
      <c r="Q2" s="75">
        <v>0</v>
      </c>
    </row>
    <row r="3" spans="1:17" ht="40" customHeight="1">
      <c r="A3" s="39">
        <v>1</v>
      </c>
      <c r="B3" s="37">
        <v>45189</v>
      </c>
      <c r="C3" s="40">
        <v>270</v>
      </c>
      <c r="D3" s="35" t="s">
        <v>115</v>
      </c>
      <c r="E3" s="61">
        <v>0.01</v>
      </c>
      <c r="F3" s="35">
        <v>8</v>
      </c>
      <c r="G3" s="35">
        <v>50</v>
      </c>
      <c r="H3" s="47">
        <f>IF(表3[[#This Row],[PO '#]]="","",(G3-F3)/360*0.1)</f>
        <v>1.1666666666666667E-2</v>
      </c>
      <c r="I3" s="37">
        <f>IF(表3[[#This Row],[PO '#]]="","",IF(H3&lt;E3,B3+F3,B3+G3))</f>
        <v>45239</v>
      </c>
      <c r="J3" s="40">
        <f>IF(表3[[#This Row],[PO '#]]="","",IF(H3&gt;E3,C3,C3*(1-E3)))</f>
        <v>270</v>
      </c>
      <c r="Q3" s="75">
        <v>1</v>
      </c>
    </row>
    <row r="4" spans="1:17" ht="40" customHeight="1">
      <c r="A4" s="39">
        <v>2</v>
      </c>
      <c r="B4" s="37">
        <v>45196</v>
      </c>
      <c r="C4" s="40">
        <v>1260</v>
      </c>
      <c r="D4" s="35" t="s">
        <v>67</v>
      </c>
      <c r="E4" s="61">
        <v>0.03</v>
      </c>
      <c r="F4" s="35">
        <v>17</v>
      </c>
      <c r="G4" s="35">
        <v>20</v>
      </c>
      <c r="H4" s="47">
        <f>IF(表3[[#This Row],[PO '#]]="","",(G4-F4)/360*0.1)</f>
        <v>8.3333333333333339E-4</v>
      </c>
      <c r="I4" s="37">
        <f>IF(表3[[#This Row],[PO '#]]="","",IF(H4&lt;E4,B4+F4,B4+G4))</f>
        <v>45213</v>
      </c>
      <c r="J4" s="40">
        <f>IF(表3[[#This Row],[PO '#]]="","",IF(H4&gt;E4,C4,C4*(1-E4)))</f>
        <v>1222.2</v>
      </c>
      <c r="Q4" s="75">
        <v>2</v>
      </c>
    </row>
    <row r="5" spans="1:17" ht="40" customHeight="1">
      <c r="A5" s="39">
        <v>3</v>
      </c>
      <c r="B5" s="37">
        <v>45201</v>
      </c>
      <c r="C5" s="40">
        <v>260</v>
      </c>
      <c r="D5" s="40" t="s">
        <v>25</v>
      </c>
      <c r="E5" s="61">
        <v>0.05</v>
      </c>
      <c r="F5" s="35">
        <v>20</v>
      </c>
      <c r="G5" s="35">
        <v>100</v>
      </c>
      <c r="H5" s="47">
        <f>IF(表3[[#This Row],[PO '#]]="","",(G5-F5)/360*0.1)</f>
        <v>2.2222222222222223E-2</v>
      </c>
      <c r="I5" s="37">
        <f>IF(表3[[#This Row],[PO '#]]="","",IF(H5&lt;E5,B5+F5,B5+G5))</f>
        <v>45221</v>
      </c>
      <c r="J5" s="40">
        <f>IF(表3[[#This Row],[PO '#]]="","",IF(H5&gt;E5,C5,C5*(1-E5)))</f>
        <v>247</v>
      </c>
      <c r="K5" s="40"/>
      <c r="Q5" s="75">
        <v>3</v>
      </c>
    </row>
    <row r="6" spans="1:17" ht="40" customHeight="1">
      <c r="A6" s="39">
        <v>4</v>
      </c>
      <c r="B6" s="37">
        <v>45216</v>
      </c>
      <c r="C6" s="40">
        <v>3090</v>
      </c>
      <c r="D6" s="40" t="s">
        <v>97</v>
      </c>
      <c r="E6" s="61">
        <v>0.02</v>
      </c>
      <c r="F6" s="35">
        <v>19</v>
      </c>
      <c r="G6" s="35">
        <v>50</v>
      </c>
      <c r="H6" s="47">
        <f>IF(表3[[#This Row],[PO '#]]="","",(G6-F6)/360*0.1)</f>
        <v>8.611111111111111E-3</v>
      </c>
      <c r="I6" s="37">
        <f>IF(表3[[#This Row],[PO '#]]="","",IF(H6&lt;E6,B6+F6,B6+G6))</f>
        <v>45235</v>
      </c>
      <c r="J6" s="40">
        <f>IF(表3[[#This Row],[PO '#]]="","",IF(H6&gt;E6,C6,C6*(1-E6)))</f>
        <v>3028.2</v>
      </c>
      <c r="K6" s="40"/>
      <c r="Q6" s="75">
        <v>4</v>
      </c>
    </row>
    <row r="7" spans="1:17" ht="40" customHeight="1">
      <c r="A7" s="39">
        <v>5</v>
      </c>
      <c r="B7" s="37">
        <v>45225</v>
      </c>
      <c r="C7" s="40">
        <v>440</v>
      </c>
      <c r="D7" s="35" t="s">
        <v>121</v>
      </c>
      <c r="E7" s="61">
        <v>0.01</v>
      </c>
      <c r="F7" s="35">
        <v>8</v>
      </c>
      <c r="G7" s="35">
        <v>50</v>
      </c>
      <c r="H7" s="47">
        <f>IF(表3[[#This Row],[PO '#]]="","",(G7-F7)/360*0.1)</f>
        <v>1.1666666666666667E-2</v>
      </c>
      <c r="I7" s="37">
        <f>IF(表3[[#This Row],[PO '#]]="","",IF(H7&lt;E7,B7+F7,B7+G7))</f>
        <v>45275</v>
      </c>
      <c r="J7" s="40">
        <f>IF(表3[[#This Row],[PO '#]]="","",IF(H7&gt;E7,C7,C7*(1-E7)))</f>
        <v>440</v>
      </c>
      <c r="Q7" s="75">
        <v>5</v>
      </c>
    </row>
    <row r="8" spans="1:17" ht="40" customHeight="1">
      <c r="A8" s="39">
        <v>6</v>
      </c>
      <c r="B8" s="37">
        <v>45230</v>
      </c>
      <c r="C8" s="40">
        <v>775</v>
      </c>
      <c r="D8" s="35" t="s">
        <v>13</v>
      </c>
      <c r="E8" s="61">
        <v>0.05</v>
      </c>
      <c r="F8" s="35">
        <v>10</v>
      </c>
      <c r="G8" s="35">
        <v>100</v>
      </c>
      <c r="H8" s="47">
        <f>IF(表3[[#This Row],[PO '#]]="","",(G8-F8)/360*0.1)</f>
        <v>2.5000000000000001E-2</v>
      </c>
      <c r="I8" s="37">
        <f>IF(表3[[#This Row],[PO '#]]="","",IF(H8&lt;E8,B8+F8,B8+G8))</f>
        <v>45240</v>
      </c>
      <c r="J8" s="40">
        <f>IF(表3[[#This Row],[PO '#]]="","",IF(H8&gt;E8,C8,C8*(1-E8)))</f>
        <v>736.25</v>
      </c>
      <c r="Q8" s="75">
        <v>6</v>
      </c>
    </row>
    <row r="9" spans="1:17" ht="40" customHeight="1">
      <c r="A9" s="39">
        <v>7</v>
      </c>
      <c r="B9" s="37">
        <v>45231</v>
      </c>
      <c r="C9" s="40">
        <v>2760</v>
      </c>
      <c r="D9" s="35" t="s">
        <v>67</v>
      </c>
      <c r="E9" s="61">
        <v>0.03</v>
      </c>
      <c r="F9" s="35">
        <v>17</v>
      </c>
      <c r="G9" s="35">
        <v>20</v>
      </c>
      <c r="H9" s="47">
        <f>IF(表3[[#This Row],[PO '#]]="","",(G9-F9)/360*0.1)</f>
        <v>8.3333333333333339E-4</v>
      </c>
      <c r="I9" s="37">
        <f>IF(表3[[#This Row],[PO '#]]="","",IF(H9&lt;E9,B9+F9,B9+G9))</f>
        <v>45248</v>
      </c>
      <c r="J9" s="40">
        <f>IF(表3[[#This Row],[PO '#]]="","",IF(H9&gt;E9,C9,C9*(1-E9)))</f>
        <v>2677.2</v>
      </c>
      <c r="Q9" s="75">
        <v>7</v>
      </c>
    </row>
    <row r="10" spans="1:17" ht="40" customHeight="1">
      <c r="E10" s="34"/>
    </row>
    <row r="11" spans="1:17" ht="40" customHeight="1">
      <c r="E11" s="34"/>
    </row>
    <row r="12" spans="1:17" ht="40" customHeight="1">
      <c r="E12" s="34"/>
    </row>
    <row r="13" spans="1:17" ht="40" customHeight="1">
      <c r="E13" s="34"/>
    </row>
    <row r="14" spans="1:17" ht="40" customHeight="1">
      <c r="E14" s="34"/>
    </row>
  </sheetData>
  <mergeCells count="1">
    <mergeCell ref="A1:J1"/>
  </mergeCells>
  <phoneticPr fontId="1" type="noConversion"/>
  <conditionalFormatting sqref="I3:I9">
    <cfRule type="cellIs" dxfId="14" priority="2" operator="lessThan">
      <formula>$L$2</formula>
    </cfRule>
  </conditionalFormatting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8C93F-0B04-E04E-8C12-AC602F534993}">
  <sheetPr codeName="Sheet6"/>
  <dimension ref="A1:L18"/>
  <sheetViews>
    <sheetView zoomScale="81" workbookViewId="0">
      <selection activeCell="M6" sqref="M6"/>
    </sheetView>
  </sheetViews>
  <sheetFormatPr defaultColWidth="10.75" defaultRowHeight="40" customHeight="1"/>
  <cols>
    <col min="1" max="1" width="21.1640625" style="39" customWidth="1"/>
    <col min="2" max="2" width="21.1640625" style="35" customWidth="1"/>
    <col min="3" max="3" width="21.75" style="35" customWidth="1"/>
    <col min="4" max="8" width="21.1640625" style="35" customWidth="1"/>
    <col min="9" max="9" width="23.1640625" style="35" customWidth="1"/>
    <col min="10" max="11" width="10.75" style="35"/>
    <col min="12" max="12" width="0" style="39" hidden="1" customWidth="1"/>
    <col min="13" max="16384" width="10.75" style="35"/>
  </cols>
  <sheetData>
    <row r="1" spans="1:12" ht="52" customHeight="1" thickBot="1">
      <c r="A1" s="106" t="s">
        <v>223</v>
      </c>
      <c r="B1" s="106"/>
      <c r="C1" s="106"/>
      <c r="D1" s="106"/>
      <c r="E1" s="106"/>
      <c r="F1" s="106"/>
      <c r="G1" s="106"/>
      <c r="H1" s="106"/>
      <c r="I1" s="106"/>
      <c r="L1" s="39">
        <v>0</v>
      </c>
    </row>
    <row r="2" spans="1:12" ht="40" customHeight="1" thickBot="1">
      <c r="A2" s="52" t="s">
        <v>191</v>
      </c>
      <c r="B2" s="53" t="s">
        <v>218</v>
      </c>
      <c r="C2" s="53" t="s">
        <v>164</v>
      </c>
      <c r="D2" s="53" t="s">
        <v>219</v>
      </c>
      <c r="E2" s="53" t="s">
        <v>220</v>
      </c>
      <c r="F2" s="53" t="s">
        <v>221</v>
      </c>
      <c r="G2" s="53" t="s">
        <v>165</v>
      </c>
      <c r="H2" s="53" t="s">
        <v>163</v>
      </c>
      <c r="I2" s="53" t="s">
        <v>222</v>
      </c>
      <c r="L2" s="39">
        <v>0</v>
      </c>
    </row>
    <row r="3" spans="1:12" ht="40" customHeight="1">
      <c r="A3" s="107">
        <v>1</v>
      </c>
      <c r="B3" s="109">
        <v>45189</v>
      </c>
      <c r="C3" s="111" t="s">
        <v>115</v>
      </c>
      <c r="D3" s="54" t="s">
        <v>137</v>
      </c>
      <c r="E3" s="54">
        <v>10</v>
      </c>
      <c r="F3" s="54">
        <v>3</v>
      </c>
      <c r="G3" s="109">
        <v>45239</v>
      </c>
      <c r="H3" s="113">
        <v>270</v>
      </c>
      <c r="I3" s="115">
        <v>270</v>
      </c>
      <c r="L3" s="39">
        <v>1</v>
      </c>
    </row>
    <row r="4" spans="1:12" ht="40" customHeight="1">
      <c r="A4" s="108"/>
      <c r="B4" s="110"/>
      <c r="C4" s="112"/>
      <c r="D4" s="35" t="s">
        <v>138</v>
      </c>
      <c r="E4" s="35">
        <v>20</v>
      </c>
      <c r="F4" s="35">
        <v>2</v>
      </c>
      <c r="G4" s="110"/>
      <c r="H4" s="114"/>
      <c r="I4" s="116"/>
      <c r="L4" s="39">
        <v>1</v>
      </c>
    </row>
    <row r="5" spans="1:12" ht="40" customHeight="1">
      <c r="A5" s="108"/>
      <c r="B5" s="110"/>
      <c r="C5" s="112"/>
      <c r="D5" s="35" t="s">
        <v>139</v>
      </c>
      <c r="E5" s="35">
        <v>35</v>
      </c>
      <c r="F5" s="35">
        <v>4</v>
      </c>
      <c r="G5" s="110"/>
      <c r="H5" s="114"/>
      <c r="I5" s="116"/>
      <c r="L5" s="39">
        <v>1</v>
      </c>
    </row>
    <row r="6" spans="1:12" ht="40" customHeight="1">
      <c r="A6" s="108">
        <v>2</v>
      </c>
      <c r="B6" s="110">
        <v>45196</v>
      </c>
      <c r="C6" s="112" t="s">
        <v>67</v>
      </c>
      <c r="D6" s="35" t="s">
        <v>141</v>
      </c>
      <c r="E6" s="35">
        <v>80</v>
      </c>
      <c r="F6" s="35">
        <v>6</v>
      </c>
      <c r="G6" s="110">
        <v>45213</v>
      </c>
      <c r="H6" s="114">
        <v>1260</v>
      </c>
      <c r="I6" s="116">
        <v>1222.2</v>
      </c>
      <c r="L6" s="39">
        <v>2</v>
      </c>
    </row>
    <row r="7" spans="1:12" ht="40" customHeight="1">
      <c r="A7" s="108"/>
      <c r="B7" s="110"/>
      <c r="C7" s="112"/>
      <c r="D7" s="35" t="s">
        <v>143</v>
      </c>
      <c r="E7" s="35">
        <v>90</v>
      </c>
      <c r="F7" s="35">
        <v>8</v>
      </c>
      <c r="G7" s="110"/>
      <c r="H7" s="114"/>
      <c r="I7" s="116"/>
      <c r="L7" s="39">
        <v>2</v>
      </c>
    </row>
    <row r="8" spans="1:12" ht="40" customHeight="1">
      <c r="A8" s="39">
        <v>3</v>
      </c>
      <c r="B8" s="37">
        <v>45201</v>
      </c>
      <c r="C8" s="35" t="s">
        <v>25</v>
      </c>
      <c r="D8" s="35" t="s">
        <v>224</v>
      </c>
      <c r="E8" s="35">
        <v>100</v>
      </c>
      <c r="F8" s="35">
        <v>2</v>
      </c>
      <c r="G8" s="37">
        <v>45221</v>
      </c>
      <c r="H8" s="42">
        <v>260</v>
      </c>
      <c r="I8" s="45">
        <v>247</v>
      </c>
      <c r="L8" s="39">
        <v>3</v>
      </c>
    </row>
    <row r="9" spans="1:12" ht="40" customHeight="1">
      <c r="A9" s="108">
        <v>4</v>
      </c>
      <c r="B9" s="110">
        <v>45216</v>
      </c>
      <c r="C9" s="112" t="s">
        <v>97</v>
      </c>
      <c r="D9" s="35" t="s">
        <v>156</v>
      </c>
      <c r="E9" s="35">
        <v>20</v>
      </c>
      <c r="F9" s="35">
        <v>50</v>
      </c>
      <c r="G9" s="110">
        <v>45235</v>
      </c>
      <c r="H9" s="114">
        <v>3090</v>
      </c>
      <c r="I9" s="116">
        <v>3028.2</v>
      </c>
      <c r="L9" s="39">
        <v>4</v>
      </c>
    </row>
    <row r="10" spans="1:12" ht="40" customHeight="1">
      <c r="A10" s="108"/>
      <c r="B10" s="110"/>
      <c r="C10" s="112"/>
      <c r="D10" s="35" t="s">
        <v>225</v>
      </c>
      <c r="E10" s="35">
        <v>40</v>
      </c>
      <c r="F10" s="35">
        <v>2</v>
      </c>
      <c r="G10" s="110"/>
      <c r="H10" s="114"/>
      <c r="I10" s="116"/>
      <c r="L10" s="39">
        <v>4</v>
      </c>
    </row>
    <row r="11" spans="1:12" ht="40" customHeight="1">
      <c r="A11" s="108"/>
      <c r="B11" s="110"/>
      <c r="C11" s="112"/>
      <c r="D11" s="35" t="s">
        <v>145</v>
      </c>
      <c r="E11" s="35">
        <v>65</v>
      </c>
      <c r="F11" s="35">
        <v>30</v>
      </c>
      <c r="G11" s="110"/>
      <c r="H11" s="114"/>
      <c r="I11" s="116"/>
      <c r="L11" s="39">
        <v>4</v>
      </c>
    </row>
    <row r="12" spans="1:12" ht="40" customHeight="1">
      <c r="A12" s="108">
        <v>5</v>
      </c>
      <c r="B12" s="110">
        <v>45225</v>
      </c>
      <c r="C12" s="112" t="s">
        <v>121</v>
      </c>
      <c r="D12" s="35" t="s">
        <v>142</v>
      </c>
      <c r="E12" s="35">
        <v>50</v>
      </c>
      <c r="F12" s="35">
        <v>7</v>
      </c>
      <c r="G12" s="110">
        <v>45275</v>
      </c>
      <c r="H12" s="114">
        <v>440</v>
      </c>
      <c r="I12" s="116">
        <v>440</v>
      </c>
      <c r="L12" s="39">
        <v>5</v>
      </c>
    </row>
    <row r="13" spans="1:12" ht="40" customHeight="1">
      <c r="A13" s="108"/>
      <c r="B13" s="110"/>
      <c r="C13" s="112"/>
      <c r="D13" s="35" t="s">
        <v>149</v>
      </c>
      <c r="E13" s="35">
        <v>30</v>
      </c>
      <c r="F13" s="35">
        <v>1</v>
      </c>
      <c r="G13" s="110"/>
      <c r="H13" s="114"/>
      <c r="I13" s="116"/>
      <c r="L13" s="39">
        <v>5</v>
      </c>
    </row>
    <row r="14" spans="1:12" ht="40" customHeight="1">
      <c r="A14" s="108">
        <v>6</v>
      </c>
      <c r="B14" s="110">
        <v>45230</v>
      </c>
      <c r="C14" s="112" t="s">
        <v>13</v>
      </c>
      <c r="D14" s="35" t="s">
        <v>226</v>
      </c>
      <c r="E14" s="35">
        <v>35</v>
      </c>
      <c r="F14" s="35">
        <v>5</v>
      </c>
      <c r="G14" s="110">
        <v>45240</v>
      </c>
      <c r="H14" s="114">
        <v>775</v>
      </c>
      <c r="I14" s="116">
        <v>736.25</v>
      </c>
      <c r="L14" s="39">
        <v>6</v>
      </c>
    </row>
    <row r="15" spans="1:12" ht="40" customHeight="1">
      <c r="A15" s="108"/>
      <c r="B15" s="110"/>
      <c r="C15" s="112"/>
      <c r="D15" s="35" t="s">
        <v>141</v>
      </c>
      <c r="E15" s="35">
        <v>45</v>
      </c>
      <c r="F15" s="35">
        <v>6</v>
      </c>
      <c r="G15" s="110"/>
      <c r="H15" s="114"/>
      <c r="I15" s="116"/>
      <c r="L15" s="39">
        <v>6</v>
      </c>
    </row>
    <row r="16" spans="1:12" ht="40" customHeight="1">
      <c r="A16" s="108"/>
      <c r="B16" s="110"/>
      <c r="C16" s="112"/>
      <c r="D16" s="35" t="s">
        <v>144</v>
      </c>
      <c r="E16" s="35">
        <v>30</v>
      </c>
      <c r="F16" s="35">
        <v>9</v>
      </c>
      <c r="G16" s="110"/>
      <c r="H16" s="114"/>
      <c r="I16" s="116"/>
      <c r="L16" s="39">
        <v>6</v>
      </c>
    </row>
    <row r="17" spans="1:12" ht="40" customHeight="1">
      <c r="A17" s="108">
        <v>7</v>
      </c>
      <c r="B17" s="110">
        <v>45231</v>
      </c>
      <c r="C17" s="112" t="s">
        <v>67</v>
      </c>
      <c r="D17" s="35" t="s">
        <v>146</v>
      </c>
      <c r="E17" s="35">
        <v>30</v>
      </c>
      <c r="F17" s="35">
        <v>70</v>
      </c>
      <c r="G17" s="110">
        <v>45248</v>
      </c>
      <c r="H17" s="114">
        <v>2760</v>
      </c>
      <c r="I17" s="116">
        <v>2677.2</v>
      </c>
      <c r="L17" s="39">
        <v>7</v>
      </c>
    </row>
    <row r="18" spans="1:12" ht="40" customHeight="1">
      <c r="A18" s="108"/>
      <c r="B18" s="110"/>
      <c r="C18" s="112"/>
      <c r="D18" s="35" t="s">
        <v>227</v>
      </c>
      <c r="E18" s="35">
        <v>60</v>
      </c>
      <c r="F18" s="35">
        <v>10</v>
      </c>
      <c r="G18" s="110"/>
      <c r="H18" s="114"/>
      <c r="I18" s="116"/>
      <c r="L18" s="39">
        <v>7</v>
      </c>
    </row>
  </sheetData>
  <mergeCells count="37">
    <mergeCell ref="I17:I18"/>
    <mergeCell ref="A17:A18"/>
    <mergeCell ref="B17:B18"/>
    <mergeCell ref="C17:C18"/>
    <mergeCell ref="G17:G18"/>
    <mergeCell ref="H17:H18"/>
    <mergeCell ref="I12:I13"/>
    <mergeCell ref="A14:A16"/>
    <mergeCell ref="B14:B16"/>
    <mergeCell ref="C14:C16"/>
    <mergeCell ref="G14:G16"/>
    <mergeCell ref="H14:H16"/>
    <mergeCell ref="I14:I16"/>
    <mergeCell ref="A12:A13"/>
    <mergeCell ref="B12:B13"/>
    <mergeCell ref="C12:C13"/>
    <mergeCell ref="G12:G13"/>
    <mergeCell ref="H12:H13"/>
    <mergeCell ref="I6:I7"/>
    <mergeCell ref="A9:A11"/>
    <mergeCell ref="B9:B11"/>
    <mergeCell ref="C9:C11"/>
    <mergeCell ref="G9:G11"/>
    <mergeCell ref="H9:H11"/>
    <mergeCell ref="I9:I11"/>
    <mergeCell ref="A6:A7"/>
    <mergeCell ref="B6:B7"/>
    <mergeCell ref="C6:C7"/>
    <mergeCell ref="G6:G7"/>
    <mergeCell ref="H6:H7"/>
    <mergeCell ref="A1:I1"/>
    <mergeCell ref="A3:A5"/>
    <mergeCell ref="B3:B5"/>
    <mergeCell ref="C3:C5"/>
    <mergeCell ref="G3:G5"/>
    <mergeCell ref="H3:H5"/>
    <mergeCell ref="I3:I5"/>
  </mergeCells>
  <phoneticPr fontId="1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Cover Page</vt:lpstr>
      <vt:lpstr>PO</vt:lpstr>
      <vt:lpstr>Suppliers</vt:lpstr>
      <vt:lpstr>Prices</vt:lpstr>
      <vt:lpstr>Register</vt:lpstr>
      <vt:lpstr>Purchase records</vt:lpstr>
      <vt:lpstr>PO!Print_Area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Xuanzhe FAN (20412580)</dc:creator>
  <cp:lastModifiedBy>嘉尉 唐</cp:lastModifiedBy>
  <cp:lastPrinted>2023-11-05T11:47:31Z</cp:lastPrinted>
  <dcterms:created xsi:type="dcterms:W3CDTF">2023-10-25T05:31:45Z</dcterms:created>
  <dcterms:modified xsi:type="dcterms:W3CDTF">2023-11-05T12:49:08Z</dcterms:modified>
</cp:coreProperties>
</file>